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90" yWindow="120" windowWidth="26070" windowHeight="11490" activeTab="8"/>
  </bookViews>
  <sheets>
    <sheet name="CUENTAS" sheetId="1" r:id="rId1"/>
    <sheet name="GASTOS CASA 2019" sheetId="3" r:id="rId2"/>
    <sheet name="GASTOS CASA 2020" sheetId="7" r:id="rId3"/>
    <sheet name="GASTOS CASA 2021" sheetId="8" r:id="rId4"/>
    <sheet name="GASTOS CASA 2022" sheetId="9" r:id="rId5"/>
    <sheet name="GASTOS CASA 2023" sheetId="10" r:id="rId6"/>
    <sheet name="GASTOS CASA 2024" sheetId="11" r:id="rId7"/>
    <sheet name="GASTOS CASA 2025" sheetId="13" r:id="rId8"/>
    <sheet name="GASTOS CASA 2026" sheetId="14" r:id="rId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4" i="14" l="1"/>
  <c r="B41" i="14" l="1"/>
  <c r="B28" i="14"/>
  <c r="B29" i="14"/>
  <c r="B30" i="14"/>
  <c r="B31" i="14"/>
  <c r="B32" i="14"/>
  <c r="B33" i="14"/>
  <c r="B34" i="14"/>
  <c r="B23" i="14"/>
  <c r="S5" i="14"/>
  <c r="S6" i="14"/>
  <c r="S7" i="14"/>
  <c r="S8" i="14"/>
  <c r="S9" i="14"/>
  <c r="S10" i="14"/>
  <c r="S11" i="14"/>
  <c r="S12" i="14"/>
  <c r="S13" i="14"/>
  <c r="S14" i="14"/>
  <c r="S15" i="14"/>
  <c r="S4" i="14"/>
  <c r="T5" i="14"/>
  <c r="T6" i="14"/>
  <c r="T7" i="14"/>
  <c r="T8" i="14"/>
  <c r="T9" i="14"/>
  <c r="T10" i="14"/>
  <c r="T11" i="14"/>
  <c r="T12" i="14"/>
  <c r="T13" i="14"/>
  <c r="T14" i="14"/>
  <c r="T15" i="14"/>
  <c r="T4" i="14"/>
  <c r="E53" i="14"/>
  <c r="M34" i="14"/>
  <c r="M33" i="14"/>
  <c r="M32" i="14"/>
  <c r="M31" i="14"/>
  <c r="M30" i="14"/>
  <c r="M29" i="14"/>
  <c r="O29" i="14" s="1"/>
  <c r="M28" i="14"/>
  <c r="M27" i="14"/>
  <c r="M26" i="14"/>
  <c r="M25" i="14"/>
  <c r="M24" i="14"/>
  <c r="M23" i="14"/>
  <c r="D16" i="14"/>
  <c r="C16" i="14"/>
  <c r="B16" i="14"/>
  <c r="Q15" i="14"/>
  <c r="P15" i="14"/>
  <c r="O15" i="14"/>
  <c r="N15" i="14"/>
  <c r="M15" i="14"/>
  <c r="B52" i="14" s="1"/>
  <c r="D52" i="14" s="1"/>
  <c r="L15" i="14"/>
  <c r="Q14" i="14"/>
  <c r="P14" i="14"/>
  <c r="O14" i="14"/>
  <c r="N14" i="14"/>
  <c r="M14" i="14"/>
  <c r="B51" i="14" s="1"/>
  <c r="D51" i="14" s="1"/>
  <c r="L14" i="14"/>
  <c r="Q13" i="14"/>
  <c r="P13" i="14"/>
  <c r="O13" i="14"/>
  <c r="N13" i="14"/>
  <c r="M13" i="14"/>
  <c r="B50" i="14" s="1"/>
  <c r="D50" i="14" s="1"/>
  <c r="L13" i="14"/>
  <c r="D32" i="14" s="1"/>
  <c r="Q12" i="14"/>
  <c r="P12" i="14"/>
  <c r="O12" i="14"/>
  <c r="N12" i="14"/>
  <c r="M12" i="14"/>
  <c r="B49" i="14" s="1"/>
  <c r="D49" i="14" s="1"/>
  <c r="L12" i="14"/>
  <c r="Q11" i="14"/>
  <c r="P11" i="14"/>
  <c r="O11" i="14"/>
  <c r="N11" i="14"/>
  <c r="M11" i="14"/>
  <c r="B48" i="14" s="1"/>
  <c r="D48" i="14" s="1"/>
  <c r="L11" i="14"/>
  <c r="Q10" i="14"/>
  <c r="P10" i="14"/>
  <c r="O10" i="14"/>
  <c r="N10" i="14"/>
  <c r="M10" i="14"/>
  <c r="B47" i="14" s="1"/>
  <c r="D47" i="14" s="1"/>
  <c r="L10" i="14"/>
  <c r="Q9" i="14"/>
  <c r="P9" i="14"/>
  <c r="O9" i="14"/>
  <c r="N9" i="14"/>
  <c r="M9" i="14"/>
  <c r="B46" i="14" s="1"/>
  <c r="D46" i="14" s="1"/>
  <c r="L9" i="14"/>
  <c r="Q8" i="14"/>
  <c r="P8" i="14"/>
  <c r="O8" i="14"/>
  <c r="N8" i="14"/>
  <c r="M8" i="14"/>
  <c r="B45" i="14" s="1"/>
  <c r="D45" i="14" s="1"/>
  <c r="L8" i="14"/>
  <c r="B27" i="14" s="1"/>
  <c r="Q7" i="14"/>
  <c r="P7" i="14"/>
  <c r="O7" i="14"/>
  <c r="N7" i="14"/>
  <c r="M7" i="14"/>
  <c r="D44" i="14" s="1"/>
  <c r="L7" i="14"/>
  <c r="B26" i="14" s="1"/>
  <c r="Q6" i="14"/>
  <c r="P6" i="14"/>
  <c r="O6" i="14"/>
  <c r="N6" i="14"/>
  <c r="M6" i="14"/>
  <c r="B43" i="14" s="1"/>
  <c r="D43" i="14" s="1"/>
  <c r="L6" i="14"/>
  <c r="B25" i="14" s="1"/>
  <c r="Q5" i="14"/>
  <c r="P5" i="14"/>
  <c r="O5" i="14"/>
  <c r="N5" i="14"/>
  <c r="M5" i="14"/>
  <c r="B42" i="14" s="1"/>
  <c r="D42" i="14" s="1"/>
  <c r="L5" i="14"/>
  <c r="B24" i="14" s="1"/>
  <c r="Q4" i="14"/>
  <c r="P4" i="14"/>
  <c r="O4" i="14"/>
  <c r="N4" i="14"/>
  <c r="M4" i="14"/>
  <c r="L4" i="14"/>
  <c r="D29" i="14" l="1"/>
  <c r="D28" i="14"/>
  <c r="D33" i="14"/>
  <c r="D26" i="14"/>
  <c r="D27" i="14"/>
  <c r="D31" i="14"/>
  <c r="D30" i="14"/>
  <c r="D41" i="14"/>
  <c r="D53" i="14" s="1"/>
  <c r="B53" i="14"/>
  <c r="D34" i="14"/>
  <c r="B51" i="13"/>
  <c r="B26" i="13" l="1"/>
  <c r="E53" i="13" l="1"/>
  <c r="M34" i="13"/>
  <c r="M33" i="13"/>
  <c r="M32" i="13"/>
  <c r="M31" i="13"/>
  <c r="M30" i="13"/>
  <c r="M29" i="13"/>
  <c r="O29" i="13" s="1"/>
  <c r="M28" i="13"/>
  <c r="M27" i="13"/>
  <c r="M26" i="13"/>
  <c r="M25" i="13"/>
  <c r="M24" i="13"/>
  <c r="M23" i="13"/>
  <c r="D16" i="13"/>
  <c r="C16" i="13"/>
  <c r="B16" i="13"/>
  <c r="Q15" i="13"/>
  <c r="P15" i="13"/>
  <c r="O15" i="13"/>
  <c r="N15" i="13"/>
  <c r="M15" i="13"/>
  <c r="B52" i="13" s="1"/>
  <c r="D52" i="13" s="1"/>
  <c r="L15" i="13"/>
  <c r="B34" i="13" s="1"/>
  <c r="Q14" i="13"/>
  <c r="P14" i="13"/>
  <c r="O14" i="13"/>
  <c r="N14" i="13"/>
  <c r="M14" i="13"/>
  <c r="D51" i="13" s="1"/>
  <c r="L14" i="13"/>
  <c r="Q13" i="13"/>
  <c r="P13" i="13"/>
  <c r="O13" i="13"/>
  <c r="B32" i="13" s="1"/>
  <c r="N13" i="13"/>
  <c r="M13" i="13"/>
  <c r="B50" i="13" s="1"/>
  <c r="D50" i="13" s="1"/>
  <c r="L13" i="13"/>
  <c r="Q12" i="13"/>
  <c r="P12" i="13"/>
  <c r="O12" i="13"/>
  <c r="N12" i="13"/>
  <c r="M12" i="13"/>
  <c r="B49" i="13" s="1"/>
  <c r="D49" i="13" s="1"/>
  <c r="L12" i="13"/>
  <c r="Q11" i="13"/>
  <c r="P11" i="13"/>
  <c r="O11" i="13"/>
  <c r="N11" i="13"/>
  <c r="M11" i="13"/>
  <c r="B48" i="13" s="1"/>
  <c r="D48" i="13" s="1"/>
  <c r="L11" i="13"/>
  <c r="B30" i="13" s="1"/>
  <c r="Q10" i="13"/>
  <c r="P10" i="13"/>
  <c r="O10" i="13"/>
  <c r="N10" i="13"/>
  <c r="M10" i="13"/>
  <c r="B47" i="13" s="1"/>
  <c r="D47" i="13" s="1"/>
  <c r="L10" i="13"/>
  <c r="Q9" i="13"/>
  <c r="P9" i="13"/>
  <c r="O9" i="13"/>
  <c r="N9" i="13"/>
  <c r="M9" i="13"/>
  <c r="B46" i="13" s="1"/>
  <c r="D46" i="13" s="1"/>
  <c r="L9" i="13"/>
  <c r="Q8" i="13"/>
  <c r="P8" i="13"/>
  <c r="O8" i="13"/>
  <c r="N8" i="13"/>
  <c r="M8" i="13"/>
  <c r="B45" i="13" s="1"/>
  <c r="D45" i="13" s="1"/>
  <c r="L8" i="13"/>
  <c r="B27" i="13" s="1"/>
  <c r="Q7" i="13"/>
  <c r="P7" i="13"/>
  <c r="O7" i="13"/>
  <c r="N7" i="13"/>
  <c r="M7" i="13"/>
  <c r="B44" i="13" s="1"/>
  <c r="D44" i="13" s="1"/>
  <c r="L7" i="13"/>
  <c r="Q6" i="13"/>
  <c r="P6" i="13"/>
  <c r="O6" i="13"/>
  <c r="N6" i="13"/>
  <c r="M6" i="13"/>
  <c r="B43" i="13" s="1"/>
  <c r="D43" i="13" s="1"/>
  <c r="L6" i="13"/>
  <c r="Q5" i="13"/>
  <c r="P5" i="13"/>
  <c r="O5" i="13"/>
  <c r="N5" i="13"/>
  <c r="M5" i="13"/>
  <c r="B42" i="13" s="1"/>
  <c r="D42" i="13" s="1"/>
  <c r="L5" i="13"/>
  <c r="Q4" i="13"/>
  <c r="P4" i="13"/>
  <c r="O4" i="13"/>
  <c r="N4" i="13"/>
  <c r="M4" i="13"/>
  <c r="B41" i="13" s="1"/>
  <c r="L4" i="13"/>
  <c r="B33" i="13" l="1"/>
  <c r="B31" i="13"/>
  <c r="B29" i="13"/>
  <c r="B28" i="13"/>
  <c r="D41" i="13"/>
  <c r="D53" i="13" s="1"/>
  <c r="B53" i="13"/>
  <c r="D26" i="13" l="1"/>
  <c r="D34" i="13"/>
  <c r="D33" i="13"/>
  <c r="D30" i="13"/>
  <c r="D29" i="13"/>
  <c r="D28" i="13"/>
  <c r="D31" i="13"/>
  <c r="D32" i="13"/>
  <c r="D27" i="13"/>
  <c r="B50" i="11"/>
  <c r="U40" i="11" l="1"/>
  <c r="E53" i="11" l="1"/>
  <c r="M34" i="11"/>
  <c r="M33" i="11"/>
  <c r="M32" i="11"/>
  <c r="M31" i="11"/>
  <c r="M30" i="11"/>
  <c r="M29" i="11"/>
  <c r="O29" i="11" s="1"/>
  <c r="M28" i="11"/>
  <c r="M27" i="11"/>
  <c r="M26" i="11"/>
  <c r="M25" i="11"/>
  <c r="M24" i="11"/>
  <c r="M23" i="11"/>
  <c r="D16" i="11"/>
  <c r="C16" i="11"/>
  <c r="B16" i="11"/>
  <c r="Q15" i="11"/>
  <c r="P15" i="11"/>
  <c r="O15" i="11"/>
  <c r="N15" i="11"/>
  <c r="M15" i="11"/>
  <c r="B52" i="11" s="1"/>
  <c r="D52" i="11" s="1"/>
  <c r="L15" i="11"/>
  <c r="Q14" i="11"/>
  <c r="P14" i="11"/>
  <c r="O14" i="11"/>
  <c r="N14" i="11"/>
  <c r="M14" i="11"/>
  <c r="B51" i="11" s="1"/>
  <c r="D51" i="11" s="1"/>
  <c r="L14" i="11"/>
  <c r="Q13" i="11"/>
  <c r="P13" i="11"/>
  <c r="O13" i="11"/>
  <c r="N13" i="11"/>
  <c r="M13" i="11"/>
  <c r="D50" i="11" s="1"/>
  <c r="L13" i="11"/>
  <c r="Q12" i="11"/>
  <c r="P12" i="11"/>
  <c r="O12" i="11"/>
  <c r="N12" i="11"/>
  <c r="M12" i="11"/>
  <c r="B49" i="11" s="1"/>
  <c r="D49" i="11" s="1"/>
  <c r="L12" i="11"/>
  <c r="Q11" i="11"/>
  <c r="P11" i="11"/>
  <c r="O11" i="11"/>
  <c r="N11" i="11"/>
  <c r="M11" i="11"/>
  <c r="B48" i="11" s="1"/>
  <c r="D48" i="11" s="1"/>
  <c r="L11" i="11"/>
  <c r="Q10" i="11"/>
  <c r="P10" i="11"/>
  <c r="O10" i="11"/>
  <c r="N10" i="11"/>
  <c r="M10" i="11"/>
  <c r="B47" i="11" s="1"/>
  <c r="D47" i="11" s="1"/>
  <c r="L10" i="11"/>
  <c r="Q9" i="11"/>
  <c r="P9" i="11"/>
  <c r="O9" i="11"/>
  <c r="N9" i="11"/>
  <c r="M9" i="11"/>
  <c r="B46" i="11" s="1"/>
  <c r="D46" i="11" s="1"/>
  <c r="L9" i="11"/>
  <c r="Q8" i="11"/>
  <c r="P8" i="11"/>
  <c r="O8" i="11"/>
  <c r="N8" i="11"/>
  <c r="M8" i="11"/>
  <c r="B45" i="11" s="1"/>
  <c r="L8" i="11"/>
  <c r="Q7" i="11"/>
  <c r="P7" i="11"/>
  <c r="O7" i="11"/>
  <c r="N7" i="11"/>
  <c r="M7" i="11"/>
  <c r="B44" i="11" s="1"/>
  <c r="L7" i="11"/>
  <c r="Q6" i="11"/>
  <c r="P6" i="11"/>
  <c r="O6" i="11"/>
  <c r="N6" i="11"/>
  <c r="M6" i="11"/>
  <c r="L6" i="11"/>
  <c r="Q5" i="11"/>
  <c r="P5" i="11"/>
  <c r="O5" i="11"/>
  <c r="N5" i="11"/>
  <c r="M5" i="11"/>
  <c r="L5" i="11"/>
  <c r="Q4" i="11"/>
  <c r="P4" i="11"/>
  <c r="O4" i="11"/>
  <c r="N4" i="11"/>
  <c r="M4" i="11"/>
  <c r="B41" i="11" s="1"/>
  <c r="L4" i="11"/>
  <c r="B43" i="11" l="1"/>
  <c r="D43" i="11" s="1"/>
  <c r="B42" i="11"/>
  <c r="D42" i="11" s="1"/>
  <c r="D41" i="11"/>
  <c r="D45" i="11"/>
  <c r="D44" i="11"/>
  <c r="D51" i="10"/>
  <c r="B53" i="11" l="1"/>
  <c r="D53" i="11"/>
  <c r="E53" i="10"/>
  <c r="M34" i="10"/>
  <c r="M33" i="10"/>
  <c r="M32" i="10"/>
  <c r="M31" i="10"/>
  <c r="M30" i="10"/>
  <c r="M29" i="10"/>
  <c r="O29" i="10" s="1"/>
  <c r="M28" i="10"/>
  <c r="M27" i="10"/>
  <c r="M26" i="10"/>
  <c r="M25" i="10"/>
  <c r="M24" i="10"/>
  <c r="M23" i="10"/>
  <c r="D16" i="10"/>
  <c r="C16" i="10"/>
  <c r="B16" i="10"/>
  <c r="Q15" i="10"/>
  <c r="P15" i="10"/>
  <c r="O15" i="10"/>
  <c r="N15" i="10"/>
  <c r="M15" i="10"/>
  <c r="B52" i="10" s="1"/>
  <c r="D52" i="10" s="1"/>
  <c r="L15" i="10"/>
  <c r="Q14" i="10"/>
  <c r="P14" i="10"/>
  <c r="O14" i="10"/>
  <c r="N14" i="10"/>
  <c r="M14" i="10"/>
  <c r="B51" i="10" s="1"/>
  <c r="L14" i="10"/>
  <c r="Q13" i="10"/>
  <c r="P13" i="10"/>
  <c r="O13" i="10"/>
  <c r="N13" i="10"/>
  <c r="M13" i="10"/>
  <c r="B50" i="10" s="1"/>
  <c r="D50" i="10" s="1"/>
  <c r="L13" i="10"/>
  <c r="Q12" i="10"/>
  <c r="P12" i="10"/>
  <c r="O12" i="10"/>
  <c r="N12" i="10"/>
  <c r="M12" i="10"/>
  <c r="B49" i="10" s="1"/>
  <c r="D49" i="10" s="1"/>
  <c r="L12" i="10"/>
  <c r="Q11" i="10"/>
  <c r="P11" i="10"/>
  <c r="O11" i="10"/>
  <c r="N11" i="10"/>
  <c r="M11" i="10"/>
  <c r="B48" i="10" s="1"/>
  <c r="D48" i="10" s="1"/>
  <c r="L11" i="10"/>
  <c r="Q10" i="10"/>
  <c r="P10" i="10"/>
  <c r="O10" i="10"/>
  <c r="N10" i="10"/>
  <c r="M10" i="10"/>
  <c r="B47" i="10" s="1"/>
  <c r="D47" i="10" s="1"/>
  <c r="L10" i="10"/>
  <c r="Q9" i="10"/>
  <c r="P9" i="10"/>
  <c r="O9" i="10"/>
  <c r="N9" i="10"/>
  <c r="M9" i="10"/>
  <c r="B46" i="10" s="1"/>
  <c r="D46" i="10" s="1"/>
  <c r="L9" i="10"/>
  <c r="Q8" i="10"/>
  <c r="P8" i="10"/>
  <c r="O8" i="10"/>
  <c r="N8" i="10"/>
  <c r="M8" i="10"/>
  <c r="B45" i="10" s="1"/>
  <c r="D45" i="10" s="1"/>
  <c r="L8" i="10"/>
  <c r="Q7" i="10"/>
  <c r="P7" i="10"/>
  <c r="O7" i="10"/>
  <c r="N7" i="10"/>
  <c r="M7" i="10"/>
  <c r="B44" i="10" s="1"/>
  <c r="D44" i="10" s="1"/>
  <c r="L7" i="10"/>
  <c r="Q6" i="10"/>
  <c r="P6" i="10"/>
  <c r="O6" i="10"/>
  <c r="N6" i="10"/>
  <c r="M6" i="10"/>
  <c r="B43" i="10" s="1"/>
  <c r="D43" i="10" s="1"/>
  <c r="L6" i="10"/>
  <c r="Q5" i="10"/>
  <c r="P5" i="10"/>
  <c r="O5" i="10"/>
  <c r="N5" i="10"/>
  <c r="M5" i="10"/>
  <c r="B42" i="10" s="1"/>
  <c r="D42" i="10" s="1"/>
  <c r="L5" i="10"/>
  <c r="Q4" i="10"/>
  <c r="P4" i="10"/>
  <c r="O4" i="10"/>
  <c r="N4" i="10"/>
  <c r="M4" i="10"/>
  <c r="B41" i="10" s="1"/>
  <c r="L4" i="10"/>
  <c r="D41" i="10" l="1"/>
  <c r="D53" i="10" s="1"/>
  <c r="B53" i="10"/>
  <c r="E53" i="9"/>
  <c r="S9" i="9" l="1"/>
  <c r="M34" i="9"/>
  <c r="M33" i="9"/>
  <c r="M32" i="9"/>
  <c r="M31" i="9"/>
  <c r="M30" i="9"/>
  <c r="M29" i="9"/>
  <c r="O29" i="9" s="1"/>
  <c r="M28" i="9"/>
  <c r="M27" i="9"/>
  <c r="M26" i="9"/>
  <c r="M25" i="9"/>
  <c r="M24" i="9"/>
  <c r="M23" i="9"/>
  <c r="D16" i="9"/>
  <c r="C16" i="9"/>
  <c r="B16" i="9"/>
  <c r="Q15" i="9"/>
  <c r="P15" i="9"/>
  <c r="O15" i="9"/>
  <c r="N15" i="9"/>
  <c r="M15" i="9"/>
  <c r="L15" i="9"/>
  <c r="S15" i="9"/>
  <c r="Q14" i="9"/>
  <c r="P14" i="9"/>
  <c r="O14" i="9"/>
  <c r="N14" i="9"/>
  <c r="M14" i="9"/>
  <c r="B51" i="9" s="1"/>
  <c r="D51" i="9" s="1"/>
  <c r="L14" i="9"/>
  <c r="S14" i="9"/>
  <c r="Q13" i="9"/>
  <c r="P13" i="9"/>
  <c r="O13" i="9"/>
  <c r="N13" i="9"/>
  <c r="M13" i="9"/>
  <c r="B50" i="9" s="1"/>
  <c r="D50" i="9" s="1"/>
  <c r="L13" i="9"/>
  <c r="S13" i="9"/>
  <c r="Q12" i="9"/>
  <c r="P12" i="9"/>
  <c r="O12" i="9"/>
  <c r="N12" i="9"/>
  <c r="M12" i="9"/>
  <c r="B49" i="9" s="1"/>
  <c r="L12" i="9"/>
  <c r="S12" i="9"/>
  <c r="Q11" i="9"/>
  <c r="P11" i="9"/>
  <c r="O11" i="9"/>
  <c r="N11" i="9"/>
  <c r="M11" i="9"/>
  <c r="L11" i="9"/>
  <c r="S11" i="9"/>
  <c r="Q10" i="9"/>
  <c r="P10" i="9"/>
  <c r="O10" i="9"/>
  <c r="N10" i="9"/>
  <c r="M10" i="9"/>
  <c r="B47" i="9" s="1"/>
  <c r="D47" i="9" s="1"/>
  <c r="L10" i="9"/>
  <c r="S10" i="9"/>
  <c r="Q9" i="9"/>
  <c r="P9" i="9"/>
  <c r="O9" i="9"/>
  <c r="N9" i="9"/>
  <c r="M9" i="9"/>
  <c r="B46" i="9" s="1"/>
  <c r="D46" i="9" s="1"/>
  <c r="L9" i="9"/>
  <c r="Q8" i="9"/>
  <c r="P8" i="9"/>
  <c r="O8" i="9"/>
  <c r="N8" i="9"/>
  <c r="M8" i="9"/>
  <c r="L8" i="9"/>
  <c r="S8" i="9"/>
  <c r="R7" i="9"/>
  <c r="Q7" i="9"/>
  <c r="P7" i="9"/>
  <c r="O7" i="9"/>
  <c r="N7" i="9"/>
  <c r="M7" i="9"/>
  <c r="L7" i="9"/>
  <c r="S7" i="9"/>
  <c r="Q6" i="9"/>
  <c r="P6" i="9"/>
  <c r="O6" i="9"/>
  <c r="N6" i="9"/>
  <c r="M6" i="9"/>
  <c r="L6" i="9"/>
  <c r="S6" i="9"/>
  <c r="Q5" i="9"/>
  <c r="P5" i="9"/>
  <c r="O5" i="9"/>
  <c r="N5" i="9"/>
  <c r="M5" i="9"/>
  <c r="L5" i="9"/>
  <c r="S5" i="9"/>
  <c r="Q4" i="9"/>
  <c r="P4" i="9"/>
  <c r="O4" i="9"/>
  <c r="N4" i="9"/>
  <c r="M4" i="9"/>
  <c r="B41" i="9" s="1"/>
  <c r="L4" i="9"/>
  <c r="R12" i="9" l="1"/>
  <c r="B31" i="9" s="1"/>
  <c r="D31" i="9" s="1"/>
  <c r="R13" i="9"/>
  <c r="R15" i="9"/>
  <c r="R5" i="9"/>
  <c r="B24" i="9" s="1"/>
  <c r="D24" i="9" s="1"/>
  <c r="R11" i="9"/>
  <c r="R8" i="9"/>
  <c r="B27" i="9"/>
  <c r="D27" i="9" s="1"/>
  <c r="B30" i="9"/>
  <c r="D30" i="9" s="1"/>
  <c r="B34" i="9"/>
  <c r="D34" i="9" s="1"/>
  <c r="B26" i="9"/>
  <c r="B32" i="9"/>
  <c r="D32" i="9" s="1"/>
  <c r="B42" i="9"/>
  <c r="D42" i="9" s="1"/>
  <c r="R10" i="9"/>
  <c r="B29" i="9" s="1"/>
  <c r="D29" i="9" s="1"/>
  <c r="R14" i="9"/>
  <c r="B33" i="9" s="1"/>
  <c r="R6" i="9"/>
  <c r="B25" i="9" s="1"/>
  <c r="D25" i="9" s="1"/>
  <c r="B45" i="9"/>
  <c r="D45" i="9" s="1"/>
  <c r="D49" i="9"/>
  <c r="E16" i="9"/>
  <c r="R9" i="9"/>
  <c r="B28" i="9" s="1"/>
  <c r="B44" i="9"/>
  <c r="B48" i="9"/>
  <c r="D48" i="9" s="1"/>
  <c r="B52" i="9"/>
  <c r="D52" i="9" s="1"/>
  <c r="B43" i="9"/>
  <c r="D43" i="9" s="1"/>
  <c r="D41" i="9"/>
  <c r="D26" i="9"/>
  <c r="R4" i="9"/>
  <c r="B23" i="9" s="1"/>
  <c r="S4" i="9"/>
  <c r="L4" i="8"/>
  <c r="M34" i="8"/>
  <c r="M33" i="8"/>
  <c r="M32" i="8"/>
  <c r="M31" i="8"/>
  <c r="M30" i="8"/>
  <c r="M29" i="8"/>
  <c r="O29" i="8" s="1"/>
  <c r="M28" i="8"/>
  <c r="O28" i="8" s="1"/>
  <c r="M27" i="8"/>
  <c r="O27" i="8" s="1"/>
  <c r="M26" i="8"/>
  <c r="O26" i="8" s="1"/>
  <c r="M25" i="8"/>
  <c r="O25" i="8" s="1"/>
  <c r="M24" i="8"/>
  <c r="O24" i="8" s="1"/>
  <c r="M23" i="8"/>
  <c r="O23" i="8" s="1"/>
  <c r="D16" i="8"/>
  <c r="C16" i="8"/>
  <c r="B16" i="8"/>
  <c r="Q15" i="8"/>
  <c r="P15" i="8"/>
  <c r="O15" i="8"/>
  <c r="N15" i="8"/>
  <c r="M15" i="8"/>
  <c r="B52" i="8" s="1"/>
  <c r="L15" i="8"/>
  <c r="Q14" i="8"/>
  <c r="P14" i="8"/>
  <c r="O14" i="8"/>
  <c r="N14" i="8"/>
  <c r="M14" i="8"/>
  <c r="L14" i="8"/>
  <c r="Q13" i="8"/>
  <c r="P13" i="8"/>
  <c r="O13" i="8"/>
  <c r="N13" i="8"/>
  <c r="M13" i="8"/>
  <c r="B50" i="8" s="1"/>
  <c r="L13" i="8"/>
  <c r="Q12" i="8"/>
  <c r="P12" i="8"/>
  <c r="O12" i="8"/>
  <c r="N12" i="8"/>
  <c r="M12" i="8"/>
  <c r="L12" i="8"/>
  <c r="Q11" i="8"/>
  <c r="P11" i="8"/>
  <c r="O11" i="8"/>
  <c r="N11" i="8"/>
  <c r="M11" i="8"/>
  <c r="L11" i="8"/>
  <c r="Q10" i="8"/>
  <c r="P10" i="8"/>
  <c r="O10" i="8"/>
  <c r="N10" i="8"/>
  <c r="M10" i="8"/>
  <c r="L10" i="8"/>
  <c r="Q9" i="8"/>
  <c r="P9" i="8"/>
  <c r="O9" i="8"/>
  <c r="N9" i="8"/>
  <c r="M9" i="8"/>
  <c r="B46" i="8" s="1"/>
  <c r="L9" i="8"/>
  <c r="Q8" i="8"/>
  <c r="P8" i="8"/>
  <c r="O8" i="8"/>
  <c r="N8" i="8"/>
  <c r="M8" i="8"/>
  <c r="L8" i="8"/>
  <c r="Q7" i="8"/>
  <c r="P7" i="8"/>
  <c r="O7" i="8"/>
  <c r="N7" i="8"/>
  <c r="M7" i="8"/>
  <c r="L7" i="8"/>
  <c r="Q6" i="8"/>
  <c r="P6" i="8"/>
  <c r="O6" i="8"/>
  <c r="N6" i="8"/>
  <c r="M6" i="8"/>
  <c r="B43" i="8" s="1"/>
  <c r="L6" i="8"/>
  <c r="Q5" i="8"/>
  <c r="P5" i="8"/>
  <c r="O5" i="8"/>
  <c r="N5" i="8"/>
  <c r="M5" i="8"/>
  <c r="B42" i="8" s="1"/>
  <c r="L5" i="8"/>
  <c r="Q4" i="8"/>
  <c r="P4" i="8"/>
  <c r="O4" i="8"/>
  <c r="N4" i="8"/>
  <c r="M4" i="8"/>
  <c r="K4" i="8"/>
  <c r="J4" i="8"/>
  <c r="I4" i="8"/>
  <c r="B41" i="8" l="1"/>
  <c r="B53" i="9"/>
  <c r="D33" i="9"/>
  <c r="D28" i="9"/>
  <c r="D44" i="9"/>
  <c r="D53" i="9" s="1"/>
  <c r="B35" i="9"/>
  <c r="D23" i="9"/>
  <c r="B51" i="8"/>
  <c r="D51" i="8" s="1"/>
  <c r="B44" i="8"/>
  <c r="D44" i="8" s="1"/>
  <c r="B45" i="8"/>
  <c r="D45" i="8" s="1"/>
  <c r="D52" i="8"/>
  <c r="D50" i="8"/>
  <c r="B49" i="8"/>
  <c r="D49" i="8" s="1"/>
  <c r="B48" i="8"/>
  <c r="D48" i="8" s="1"/>
  <c r="B47" i="8"/>
  <c r="D47" i="8" s="1"/>
  <c r="D43" i="8"/>
  <c r="D42" i="8"/>
  <c r="D46" i="8"/>
  <c r="K13" i="7"/>
  <c r="D35" i="9" l="1"/>
  <c r="B53" i="8"/>
  <c r="D41" i="8"/>
  <c r="D53" i="8" s="1"/>
  <c r="N15" i="3"/>
  <c r="N14" i="3"/>
  <c r="M15" i="3"/>
  <c r="M14" i="3"/>
  <c r="L15" i="3"/>
  <c r="L14" i="3"/>
  <c r="K15" i="3"/>
  <c r="K14" i="3"/>
  <c r="J15" i="3"/>
  <c r="I15" i="3"/>
  <c r="I14" i="3"/>
  <c r="J14" i="3"/>
  <c r="M34" i="7"/>
  <c r="O34" i="7" s="1"/>
  <c r="M33" i="7"/>
  <c r="O33" i="7" s="1"/>
  <c r="M32" i="7"/>
  <c r="O32" i="7" s="1"/>
  <c r="M31" i="7"/>
  <c r="O31" i="7" s="1"/>
  <c r="M30" i="7"/>
  <c r="O30" i="7" s="1"/>
  <c r="M29" i="7"/>
  <c r="O29" i="7" s="1"/>
  <c r="M28" i="7"/>
  <c r="O28" i="7" s="1"/>
  <c r="M27" i="7"/>
  <c r="O27" i="7" s="1"/>
  <c r="M25" i="7"/>
  <c r="M24" i="7"/>
  <c r="O24" i="7" s="1"/>
  <c r="M26" i="7"/>
  <c r="M23" i="7"/>
  <c r="O23" i="7" s="1"/>
  <c r="P5" i="7"/>
  <c r="P6" i="7"/>
  <c r="P7" i="7"/>
  <c r="P8" i="7"/>
  <c r="P9" i="7"/>
  <c r="P10" i="7"/>
  <c r="P11" i="7"/>
  <c r="P12" i="7"/>
  <c r="P13" i="7"/>
  <c r="P14" i="7"/>
  <c r="P15" i="7"/>
  <c r="P4" i="7"/>
  <c r="M5" i="7"/>
  <c r="M6" i="7"/>
  <c r="M7" i="7"/>
  <c r="M8" i="7"/>
  <c r="M9" i="7"/>
  <c r="M10" i="7"/>
  <c r="M11" i="7"/>
  <c r="B48" i="7" s="1"/>
  <c r="M12" i="7"/>
  <c r="M13" i="7"/>
  <c r="M14" i="7"/>
  <c r="M15" i="7"/>
  <c r="M4" i="7"/>
  <c r="J5" i="7"/>
  <c r="J6" i="7"/>
  <c r="J7" i="7"/>
  <c r="J8" i="7"/>
  <c r="J9" i="7"/>
  <c r="B46" i="7" s="1"/>
  <c r="B47" i="7"/>
  <c r="J4" i="7"/>
  <c r="Q5" i="7"/>
  <c r="Q6" i="7"/>
  <c r="Q7" i="7"/>
  <c r="Q8" i="7"/>
  <c r="Q9" i="7"/>
  <c r="Q10" i="7"/>
  <c r="Q11" i="7"/>
  <c r="Q12" i="7"/>
  <c r="Q13" i="7"/>
  <c r="Q14" i="7"/>
  <c r="Q15" i="7"/>
  <c r="O5" i="7"/>
  <c r="O6" i="7"/>
  <c r="O7" i="7"/>
  <c r="O8" i="7"/>
  <c r="O9" i="7"/>
  <c r="O10" i="7"/>
  <c r="O11" i="7"/>
  <c r="O12" i="7"/>
  <c r="O13" i="7"/>
  <c r="O14" i="7"/>
  <c r="O15" i="7"/>
  <c r="N5" i="7"/>
  <c r="N6" i="7"/>
  <c r="N7" i="7"/>
  <c r="N8" i="7"/>
  <c r="N9" i="7"/>
  <c r="N10" i="7"/>
  <c r="N11" i="7"/>
  <c r="N12" i="7"/>
  <c r="N13" i="7"/>
  <c r="N14" i="7"/>
  <c r="N15" i="7"/>
  <c r="L5" i="7"/>
  <c r="L6" i="7"/>
  <c r="L7" i="7"/>
  <c r="L8" i="7"/>
  <c r="L9" i="7"/>
  <c r="L10" i="7"/>
  <c r="L11" i="7"/>
  <c r="L12" i="7"/>
  <c r="L13" i="7"/>
  <c r="L14" i="7"/>
  <c r="L15" i="7"/>
  <c r="I5" i="7"/>
  <c r="I6" i="7"/>
  <c r="I7" i="7"/>
  <c r="I8" i="7"/>
  <c r="I9" i="7"/>
  <c r="K5" i="7"/>
  <c r="K6" i="7"/>
  <c r="K7" i="7"/>
  <c r="K8" i="7"/>
  <c r="K9" i="7"/>
  <c r="K12" i="7"/>
  <c r="K15" i="7"/>
  <c r="I4" i="7"/>
  <c r="K4" i="7"/>
  <c r="L4" i="7"/>
  <c r="N4" i="7"/>
  <c r="O4" i="7"/>
  <c r="Q4" i="7"/>
  <c r="D16" i="7"/>
  <c r="C16" i="7"/>
  <c r="B16" i="7"/>
  <c r="N32" i="3"/>
  <c r="M32" i="3"/>
  <c r="B41" i="7" l="1"/>
  <c r="D41" i="7" s="1"/>
  <c r="B52" i="7"/>
  <c r="D52" i="7" s="1"/>
  <c r="B51" i="7"/>
  <c r="D51" i="7" s="1"/>
  <c r="B43" i="7"/>
  <c r="D43" i="7" s="1"/>
  <c r="B50" i="7"/>
  <c r="D50" i="7" s="1"/>
  <c r="B49" i="7"/>
  <c r="D49" i="7" s="1"/>
  <c r="B45" i="7"/>
  <c r="D45" i="7" s="1"/>
  <c r="B44" i="7"/>
  <c r="D44" i="7" s="1"/>
  <c r="B42" i="7"/>
  <c r="D42" i="7" s="1"/>
  <c r="T11" i="3"/>
  <c r="D47" i="7"/>
  <c r="T10" i="3"/>
  <c r="D46" i="7"/>
  <c r="O26" i="7"/>
  <c r="D48" i="7"/>
  <c r="O25" i="7"/>
  <c r="N31" i="3"/>
  <c r="M31" i="3"/>
  <c r="D53" i="7" l="1"/>
  <c r="B53" i="7"/>
  <c r="N30" i="3"/>
  <c r="M30" i="3"/>
  <c r="N29" i="3" l="1"/>
  <c r="M29" i="3"/>
  <c r="N28" i="3" l="1"/>
  <c r="M28" i="3"/>
  <c r="N27" i="3" l="1"/>
  <c r="M27" i="3"/>
  <c r="N26" i="3" l="1"/>
  <c r="M26" i="3"/>
  <c r="N25" i="3" l="1"/>
  <c r="M25" i="3"/>
  <c r="N24" i="3" l="1"/>
  <c r="M24" i="3"/>
  <c r="I5" i="3"/>
  <c r="I6" i="3"/>
  <c r="I7" i="3"/>
  <c r="I8" i="3"/>
  <c r="I9" i="3"/>
  <c r="I10" i="3"/>
  <c r="I11" i="3"/>
  <c r="I12" i="3"/>
  <c r="I13" i="3"/>
  <c r="N23" i="3" l="1"/>
  <c r="M23" i="3"/>
  <c r="N34" i="3"/>
  <c r="M34" i="3"/>
  <c r="N33" i="3"/>
  <c r="M33" i="3"/>
  <c r="D16" i="3"/>
  <c r="C16" i="3"/>
  <c r="B16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I4" i="3"/>
  <c r="B17" i="1"/>
  <c r="B16" i="1"/>
  <c r="B15" i="1"/>
  <c r="F13" i="14" l="1"/>
  <c r="F11" i="14"/>
  <c r="F4" i="14"/>
  <c r="F9" i="14"/>
  <c r="F5" i="14"/>
  <c r="F10" i="14"/>
  <c r="F6" i="14"/>
  <c r="F14" i="14"/>
  <c r="F7" i="14"/>
  <c r="F12" i="14"/>
  <c r="F15" i="14"/>
  <c r="F8" i="14"/>
  <c r="F13" i="13"/>
  <c r="T13" i="13" s="1"/>
  <c r="F4" i="13"/>
  <c r="F14" i="13"/>
  <c r="T14" i="13" s="1"/>
  <c r="F7" i="13"/>
  <c r="T7" i="13" s="1"/>
  <c r="F6" i="13"/>
  <c r="T6" i="13" s="1"/>
  <c r="F11" i="13"/>
  <c r="T11" i="13" s="1"/>
  <c r="F9" i="13"/>
  <c r="T9" i="13" s="1"/>
  <c r="F12" i="13"/>
  <c r="T12" i="13" s="1"/>
  <c r="F5" i="13"/>
  <c r="T5" i="13" s="1"/>
  <c r="F15" i="13"/>
  <c r="T15" i="13" s="1"/>
  <c r="F8" i="13"/>
  <c r="T8" i="13" s="1"/>
  <c r="F10" i="13"/>
  <c r="T10" i="13" s="1"/>
  <c r="E9" i="14"/>
  <c r="E4" i="14"/>
  <c r="E12" i="14"/>
  <c r="E15" i="14"/>
  <c r="E10" i="14"/>
  <c r="E5" i="14"/>
  <c r="E6" i="14"/>
  <c r="E7" i="14"/>
  <c r="E8" i="14"/>
  <c r="E11" i="14"/>
  <c r="E14" i="14"/>
  <c r="E13" i="14"/>
  <c r="E13" i="13"/>
  <c r="E10" i="13"/>
  <c r="E5" i="13"/>
  <c r="E9" i="13"/>
  <c r="E7" i="13"/>
  <c r="E12" i="13"/>
  <c r="E4" i="13"/>
  <c r="E14" i="13"/>
  <c r="E6" i="13"/>
  <c r="E8" i="13"/>
  <c r="E15" i="13"/>
  <c r="E11" i="13"/>
  <c r="E9" i="11"/>
  <c r="E6" i="11"/>
  <c r="E8" i="11"/>
  <c r="E12" i="11"/>
  <c r="E11" i="11"/>
  <c r="E15" i="11"/>
  <c r="E7" i="11"/>
  <c r="E14" i="11"/>
  <c r="E5" i="11"/>
  <c r="E10" i="11"/>
  <c r="E4" i="11"/>
  <c r="E13" i="11"/>
  <c r="E7" i="10"/>
  <c r="E6" i="10"/>
  <c r="E8" i="10"/>
  <c r="E5" i="10"/>
  <c r="E10" i="10"/>
  <c r="E4" i="10"/>
  <c r="R4" i="10" s="1"/>
  <c r="B23" i="10" s="1"/>
  <c r="E13" i="10"/>
  <c r="E15" i="10"/>
  <c r="E12" i="10"/>
  <c r="E14" i="10"/>
  <c r="E11" i="10"/>
  <c r="E9" i="10"/>
  <c r="F15" i="11"/>
  <c r="T15" i="11" s="1"/>
  <c r="F9" i="11"/>
  <c r="T9" i="11" s="1"/>
  <c r="F6" i="11"/>
  <c r="T6" i="11" s="1"/>
  <c r="F5" i="11"/>
  <c r="T5" i="11" s="1"/>
  <c r="F12" i="11"/>
  <c r="T12" i="11" s="1"/>
  <c r="F13" i="11"/>
  <c r="T13" i="11" s="1"/>
  <c r="F4" i="11"/>
  <c r="F14" i="11"/>
  <c r="T14" i="11" s="1"/>
  <c r="F10" i="11"/>
  <c r="T10" i="11" s="1"/>
  <c r="F7" i="11"/>
  <c r="T7" i="11" s="1"/>
  <c r="F8" i="11"/>
  <c r="T8" i="11" s="1"/>
  <c r="F11" i="11"/>
  <c r="T11" i="11" s="1"/>
  <c r="F8" i="10"/>
  <c r="T8" i="10" s="1"/>
  <c r="F5" i="10"/>
  <c r="T5" i="10" s="1"/>
  <c r="F9" i="10"/>
  <c r="T9" i="10" s="1"/>
  <c r="F10" i="10"/>
  <c r="T10" i="10" s="1"/>
  <c r="F11" i="10"/>
  <c r="T11" i="10" s="1"/>
  <c r="F4" i="10"/>
  <c r="F15" i="10"/>
  <c r="T15" i="10" s="1"/>
  <c r="F7" i="10"/>
  <c r="T7" i="10" s="1"/>
  <c r="F14" i="10"/>
  <c r="T14" i="10" s="1"/>
  <c r="F12" i="10"/>
  <c r="T12" i="10" s="1"/>
  <c r="F4" i="8"/>
  <c r="F6" i="10"/>
  <c r="T6" i="10" s="1"/>
  <c r="F13" i="10"/>
  <c r="T13" i="10" s="1"/>
  <c r="F4" i="9"/>
  <c r="F15" i="9"/>
  <c r="F14" i="9"/>
  <c r="F13" i="9"/>
  <c r="F12" i="9"/>
  <c r="F11" i="9"/>
  <c r="F6" i="9"/>
  <c r="F8" i="9"/>
  <c r="F7" i="9"/>
  <c r="F5" i="9"/>
  <c r="F10" i="9"/>
  <c r="F9" i="9"/>
  <c r="F7" i="8"/>
  <c r="T7" i="8" s="1"/>
  <c r="F15" i="8"/>
  <c r="T15" i="8" s="1"/>
  <c r="F14" i="8"/>
  <c r="T14" i="8" s="1"/>
  <c r="F13" i="8"/>
  <c r="T13" i="8" s="1"/>
  <c r="F12" i="8"/>
  <c r="T12" i="8" s="1"/>
  <c r="F11" i="8"/>
  <c r="T11" i="8" s="1"/>
  <c r="F10" i="8"/>
  <c r="T10" i="8" s="1"/>
  <c r="F9" i="8"/>
  <c r="T9" i="8" s="1"/>
  <c r="F8" i="8"/>
  <c r="T8" i="8" s="1"/>
  <c r="F5" i="8"/>
  <c r="T5" i="8" s="1"/>
  <c r="F6" i="8"/>
  <c r="T6" i="8" s="1"/>
  <c r="E4" i="8"/>
  <c r="E6" i="8"/>
  <c r="E9" i="8"/>
  <c r="E15" i="8"/>
  <c r="E8" i="8"/>
  <c r="E14" i="8"/>
  <c r="E7" i="8"/>
  <c r="E13" i="8"/>
  <c r="E10" i="8"/>
  <c r="E12" i="8"/>
  <c r="E5" i="8"/>
  <c r="E11" i="8"/>
  <c r="E15" i="3"/>
  <c r="E15" i="7"/>
  <c r="E7" i="7"/>
  <c r="E13" i="7"/>
  <c r="E5" i="7"/>
  <c r="E14" i="3"/>
  <c r="E14" i="7"/>
  <c r="E6" i="7"/>
  <c r="E12" i="7"/>
  <c r="E11" i="7"/>
  <c r="E10" i="7"/>
  <c r="E9" i="7"/>
  <c r="E13" i="3"/>
  <c r="E4" i="7"/>
  <c r="E8" i="7"/>
  <c r="F9" i="7"/>
  <c r="T9" i="7" s="1"/>
  <c r="F7" i="7"/>
  <c r="T7" i="7" s="1"/>
  <c r="F8" i="7"/>
  <c r="T8" i="7" s="1"/>
  <c r="F14" i="7"/>
  <c r="T14" i="7" s="1"/>
  <c r="F6" i="7"/>
  <c r="T6" i="7" s="1"/>
  <c r="F13" i="7"/>
  <c r="T13" i="7" s="1"/>
  <c r="F5" i="7"/>
  <c r="T5" i="7" s="1"/>
  <c r="F12" i="7"/>
  <c r="T12" i="7" s="1"/>
  <c r="F4" i="7"/>
  <c r="F15" i="7"/>
  <c r="T15" i="7" s="1"/>
  <c r="F15" i="3"/>
  <c r="Q15" i="3" s="1"/>
  <c r="F11" i="7"/>
  <c r="T11" i="7" s="1"/>
  <c r="F13" i="3"/>
  <c r="Q13" i="3" s="1"/>
  <c r="F14" i="3"/>
  <c r="Q14" i="3" s="1"/>
  <c r="F10" i="7"/>
  <c r="T10" i="7" s="1"/>
  <c r="F11" i="3"/>
  <c r="Q11" i="3" s="1"/>
  <c r="F12" i="3"/>
  <c r="Q12" i="3" s="1"/>
  <c r="E11" i="3"/>
  <c r="P11" i="3" s="1"/>
  <c r="E12" i="3"/>
  <c r="E7" i="3"/>
  <c r="O7" i="3" s="1"/>
  <c r="B26" i="3" s="1"/>
  <c r="E10" i="3"/>
  <c r="E9" i="3"/>
  <c r="E8" i="3"/>
  <c r="F7" i="3"/>
  <c r="Q7" i="3" s="1"/>
  <c r="F10" i="3"/>
  <c r="Q10" i="3" s="1"/>
  <c r="F9" i="3"/>
  <c r="Q9" i="3" s="1"/>
  <c r="F8" i="3"/>
  <c r="Q8" i="3" s="1"/>
  <c r="E4" i="3"/>
  <c r="E6" i="3"/>
  <c r="E5" i="3"/>
  <c r="F4" i="3"/>
  <c r="Q4" i="3" s="1"/>
  <c r="F6" i="3"/>
  <c r="Q6" i="3" s="1"/>
  <c r="F5" i="3"/>
  <c r="Q5" i="3" s="1"/>
  <c r="F16" i="14" l="1"/>
  <c r="T4" i="13"/>
  <c r="F16" i="13"/>
  <c r="G11" i="13"/>
  <c r="R11" i="13"/>
  <c r="S11" i="13"/>
  <c r="G30" i="13" s="1"/>
  <c r="G25" i="14"/>
  <c r="I25" i="14" s="1"/>
  <c r="G6" i="14"/>
  <c r="G33" i="14"/>
  <c r="G14" i="14"/>
  <c r="G12" i="13"/>
  <c r="R12" i="13"/>
  <c r="S12" i="13"/>
  <c r="G31" i="13" s="1"/>
  <c r="G24" i="14"/>
  <c r="I24" i="14" s="1"/>
  <c r="G5" i="14"/>
  <c r="G32" i="14"/>
  <c r="G13" i="14"/>
  <c r="G30" i="14"/>
  <c r="G11" i="14"/>
  <c r="G7" i="13"/>
  <c r="S7" i="13"/>
  <c r="G26" i="13" s="1"/>
  <c r="R7" i="13"/>
  <c r="G29" i="14"/>
  <c r="G10" i="14"/>
  <c r="G8" i="13"/>
  <c r="R8" i="13"/>
  <c r="S8" i="13"/>
  <c r="G27" i="13" s="1"/>
  <c r="G4" i="13"/>
  <c r="R4" i="13"/>
  <c r="B23" i="13" s="1"/>
  <c r="S4" i="13"/>
  <c r="E16" i="13"/>
  <c r="G9" i="13"/>
  <c r="S9" i="13"/>
  <c r="G28" i="13" s="1"/>
  <c r="R9" i="13"/>
  <c r="G34" i="14"/>
  <c r="G15" i="14"/>
  <c r="G14" i="13"/>
  <c r="R14" i="13"/>
  <c r="S14" i="13"/>
  <c r="G33" i="13" s="1"/>
  <c r="G5" i="13"/>
  <c r="R5" i="13"/>
  <c r="B24" i="13" s="1"/>
  <c r="S5" i="13"/>
  <c r="G24" i="13" s="1"/>
  <c r="I24" i="13" s="1"/>
  <c r="G31" i="14"/>
  <c r="G12" i="14"/>
  <c r="G27" i="14"/>
  <c r="G8" i="14"/>
  <c r="G26" i="14"/>
  <c r="G7" i="14"/>
  <c r="G10" i="13"/>
  <c r="R10" i="13"/>
  <c r="S10" i="13"/>
  <c r="G29" i="13" s="1"/>
  <c r="E16" i="14"/>
  <c r="G16" i="14" s="1"/>
  <c r="G23" i="14"/>
  <c r="G4" i="14"/>
  <c r="G15" i="13"/>
  <c r="S15" i="13"/>
  <c r="G34" i="13" s="1"/>
  <c r="R15" i="13"/>
  <c r="G6" i="13"/>
  <c r="S6" i="13"/>
  <c r="G25" i="13" s="1"/>
  <c r="I25" i="13" s="1"/>
  <c r="R6" i="13"/>
  <c r="B25" i="13" s="1"/>
  <c r="G13" i="13"/>
  <c r="S13" i="13"/>
  <c r="G32" i="13" s="1"/>
  <c r="R13" i="13"/>
  <c r="G28" i="14"/>
  <c r="G9" i="14"/>
  <c r="S4" i="11"/>
  <c r="R4" i="11"/>
  <c r="B23" i="11" s="1"/>
  <c r="E16" i="11"/>
  <c r="G4" i="11"/>
  <c r="S10" i="11"/>
  <c r="G29" i="11" s="1"/>
  <c r="I29" i="11" s="1"/>
  <c r="R10" i="11"/>
  <c r="B29" i="11" s="1"/>
  <c r="G10" i="11"/>
  <c r="S13" i="11"/>
  <c r="G32" i="11" s="1"/>
  <c r="I32" i="11" s="1"/>
  <c r="R13" i="11"/>
  <c r="B32" i="11" s="1"/>
  <c r="G13" i="11"/>
  <c r="S5" i="11"/>
  <c r="G24" i="11" s="1"/>
  <c r="I24" i="11" s="1"/>
  <c r="G5" i="11"/>
  <c r="R5" i="11"/>
  <c r="B24" i="11" s="1"/>
  <c r="S14" i="11"/>
  <c r="G33" i="11" s="1"/>
  <c r="I33" i="11" s="1"/>
  <c r="R14" i="11"/>
  <c r="B33" i="11" s="1"/>
  <c r="G14" i="11"/>
  <c r="T4" i="11"/>
  <c r="F16" i="11"/>
  <c r="S7" i="11"/>
  <c r="G26" i="11" s="1"/>
  <c r="I26" i="11" s="1"/>
  <c r="G7" i="11"/>
  <c r="R7" i="11"/>
  <c r="B26" i="11" s="1"/>
  <c r="S15" i="11"/>
  <c r="G34" i="11" s="1"/>
  <c r="I34" i="11" s="1"/>
  <c r="R15" i="11"/>
  <c r="B34" i="11" s="1"/>
  <c r="G15" i="11"/>
  <c r="S11" i="11"/>
  <c r="G30" i="11" s="1"/>
  <c r="I30" i="11" s="1"/>
  <c r="G11" i="11"/>
  <c r="R11" i="11"/>
  <c r="B30" i="11" s="1"/>
  <c r="S12" i="11"/>
  <c r="G31" i="11" s="1"/>
  <c r="I31" i="11" s="1"/>
  <c r="G12" i="11"/>
  <c r="R12" i="11"/>
  <c r="B31" i="11" s="1"/>
  <c r="S8" i="11"/>
  <c r="G27" i="11" s="1"/>
  <c r="I27" i="11" s="1"/>
  <c r="G8" i="11"/>
  <c r="R8" i="11"/>
  <c r="B27" i="11" s="1"/>
  <c r="S4" i="10"/>
  <c r="S6" i="11"/>
  <c r="G25" i="11" s="1"/>
  <c r="I25" i="11" s="1"/>
  <c r="R6" i="11"/>
  <c r="B25" i="11" s="1"/>
  <c r="G6" i="11"/>
  <c r="S9" i="11"/>
  <c r="G28" i="11" s="1"/>
  <c r="I28" i="11" s="1"/>
  <c r="R9" i="11"/>
  <c r="B28" i="11" s="1"/>
  <c r="G9" i="11"/>
  <c r="S15" i="10"/>
  <c r="G34" i="10" s="1"/>
  <c r="I34" i="10" s="1"/>
  <c r="R15" i="10"/>
  <c r="B34" i="10" s="1"/>
  <c r="G15" i="10"/>
  <c r="R10" i="10"/>
  <c r="B29" i="10" s="1"/>
  <c r="S10" i="10"/>
  <c r="G29" i="10" s="1"/>
  <c r="I29" i="10" s="1"/>
  <c r="G10" i="10"/>
  <c r="T4" i="10"/>
  <c r="F16" i="10"/>
  <c r="G13" i="10"/>
  <c r="S13" i="10"/>
  <c r="G32" i="10" s="1"/>
  <c r="I32" i="10" s="1"/>
  <c r="R13" i="10"/>
  <c r="B32" i="10" s="1"/>
  <c r="S9" i="10"/>
  <c r="G28" i="10" s="1"/>
  <c r="I28" i="10" s="1"/>
  <c r="G9" i="10"/>
  <c r="R9" i="10"/>
  <c r="B28" i="10" s="1"/>
  <c r="G14" i="10"/>
  <c r="R14" i="10"/>
  <c r="B33" i="10" s="1"/>
  <c r="S14" i="10"/>
  <c r="G33" i="10" s="1"/>
  <c r="I33" i="10" s="1"/>
  <c r="S8" i="10"/>
  <c r="G27" i="10" s="1"/>
  <c r="I27" i="10" s="1"/>
  <c r="G8" i="10"/>
  <c r="R8" i="10"/>
  <c r="B27" i="10" s="1"/>
  <c r="G7" i="10"/>
  <c r="R7" i="10"/>
  <c r="B26" i="10" s="1"/>
  <c r="S7" i="10"/>
  <c r="G26" i="10" s="1"/>
  <c r="I26" i="10" s="1"/>
  <c r="D23" i="10"/>
  <c r="E16" i="10"/>
  <c r="G4" i="10"/>
  <c r="S12" i="10"/>
  <c r="G31" i="10" s="1"/>
  <c r="I31" i="10" s="1"/>
  <c r="R12" i="10"/>
  <c r="B31" i="10" s="1"/>
  <c r="G12" i="10"/>
  <c r="G6" i="10"/>
  <c r="R6" i="10"/>
  <c r="B25" i="10" s="1"/>
  <c r="S6" i="10"/>
  <c r="G25" i="10" s="1"/>
  <c r="I25" i="10" s="1"/>
  <c r="G11" i="10"/>
  <c r="S11" i="10"/>
  <c r="G30" i="10" s="1"/>
  <c r="I30" i="10" s="1"/>
  <c r="R11" i="10"/>
  <c r="B30" i="10" s="1"/>
  <c r="R5" i="10"/>
  <c r="B24" i="10" s="1"/>
  <c r="S5" i="10"/>
  <c r="G24" i="10" s="1"/>
  <c r="I24" i="10" s="1"/>
  <c r="G5" i="10"/>
  <c r="T5" i="9"/>
  <c r="G24" i="9" s="1"/>
  <c r="G5" i="9"/>
  <c r="T10" i="9"/>
  <c r="G29" i="9" s="1"/>
  <c r="G10" i="9"/>
  <c r="T6" i="9"/>
  <c r="G25" i="9" s="1"/>
  <c r="G6" i="9"/>
  <c r="T11" i="9"/>
  <c r="G30" i="9" s="1"/>
  <c r="G11" i="9"/>
  <c r="T12" i="9"/>
  <c r="G31" i="9" s="1"/>
  <c r="G12" i="9"/>
  <c r="T7" i="9"/>
  <c r="G26" i="9" s="1"/>
  <c r="G7" i="9"/>
  <c r="T13" i="9"/>
  <c r="G32" i="9" s="1"/>
  <c r="G13" i="9"/>
  <c r="T14" i="9"/>
  <c r="G33" i="9" s="1"/>
  <c r="G14" i="9"/>
  <c r="T8" i="9"/>
  <c r="G27" i="9" s="1"/>
  <c r="G8" i="9"/>
  <c r="T15" i="9"/>
  <c r="G34" i="9" s="1"/>
  <c r="G15" i="9"/>
  <c r="T9" i="9"/>
  <c r="G28" i="9" s="1"/>
  <c r="G9" i="9"/>
  <c r="T4" i="9"/>
  <c r="G23" i="9" s="1"/>
  <c r="G4" i="9"/>
  <c r="F16" i="9"/>
  <c r="G16" i="9" s="1"/>
  <c r="T4" i="8"/>
  <c r="F16" i="8"/>
  <c r="G13" i="8"/>
  <c r="S13" i="8"/>
  <c r="R13" i="8"/>
  <c r="B32" i="8" s="1"/>
  <c r="G12" i="8"/>
  <c r="S12" i="8"/>
  <c r="R12" i="8"/>
  <c r="B31" i="8" s="1"/>
  <c r="S7" i="8"/>
  <c r="G7" i="8"/>
  <c r="R7" i="8"/>
  <c r="B26" i="8" s="1"/>
  <c r="S14" i="8"/>
  <c r="R14" i="8"/>
  <c r="B33" i="8" s="1"/>
  <c r="G14" i="8"/>
  <c r="G11" i="8"/>
  <c r="R11" i="8"/>
  <c r="B30" i="8" s="1"/>
  <c r="S11" i="8"/>
  <c r="G10" i="8"/>
  <c r="S10" i="8"/>
  <c r="G29" i="8" s="1"/>
  <c r="I29" i="8" s="1"/>
  <c r="R10" i="8"/>
  <c r="B29" i="8" s="1"/>
  <c r="R8" i="8"/>
  <c r="B27" i="8" s="1"/>
  <c r="S8" i="8"/>
  <c r="G8" i="8"/>
  <c r="R15" i="8"/>
  <c r="B34" i="8" s="1"/>
  <c r="G15" i="8"/>
  <c r="S15" i="8"/>
  <c r="G5" i="8"/>
  <c r="S5" i="8"/>
  <c r="G24" i="8" s="1"/>
  <c r="I24" i="8" s="1"/>
  <c r="R5" i="8"/>
  <c r="B24" i="8" s="1"/>
  <c r="G9" i="8"/>
  <c r="S9" i="8"/>
  <c r="R9" i="8"/>
  <c r="B28" i="8" s="1"/>
  <c r="G6" i="8"/>
  <c r="R6" i="8"/>
  <c r="B25" i="8" s="1"/>
  <c r="S6" i="8"/>
  <c r="G25" i="8" s="1"/>
  <c r="I25" i="8" s="1"/>
  <c r="G30" i="3"/>
  <c r="I30" i="3" s="1"/>
  <c r="G4" i="8"/>
  <c r="R4" i="8"/>
  <c r="B23" i="8" s="1"/>
  <c r="E16" i="8"/>
  <c r="S4" i="8"/>
  <c r="G23" i="8" s="1"/>
  <c r="O11" i="3"/>
  <c r="B30" i="3" s="1"/>
  <c r="D30" i="3" s="1"/>
  <c r="G11" i="3"/>
  <c r="T4" i="7"/>
  <c r="F16" i="7"/>
  <c r="R6" i="7"/>
  <c r="B25" i="7" s="1"/>
  <c r="S6" i="7"/>
  <c r="G25" i="7" s="1"/>
  <c r="I25" i="7" s="1"/>
  <c r="G6" i="7"/>
  <c r="S8" i="7"/>
  <c r="G27" i="7" s="1"/>
  <c r="I27" i="7" s="1"/>
  <c r="R8" i="7"/>
  <c r="B27" i="7" s="1"/>
  <c r="G8" i="7"/>
  <c r="P14" i="3"/>
  <c r="O14" i="3"/>
  <c r="B33" i="3" s="1"/>
  <c r="D33" i="3" s="1"/>
  <c r="G14" i="3"/>
  <c r="P13" i="3"/>
  <c r="G32" i="3" s="1"/>
  <c r="I32" i="3" s="1"/>
  <c r="G13" i="3"/>
  <c r="O13" i="3"/>
  <c r="B32" i="3" s="1"/>
  <c r="D32" i="3" s="1"/>
  <c r="R5" i="7"/>
  <c r="B24" i="7" s="1"/>
  <c r="S5" i="7"/>
  <c r="G24" i="7" s="1"/>
  <c r="I24" i="7" s="1"/>
  <c r="G5" i="7"/>
  <c r="S9" i="7"/>
  <c r="G28" i="7" s="1"/>
  <c r="I28" i="7" s="1"/>
  <c r="R9" i="7"/>
  <c r="B28" i="7" s="1"/>
  <c r="G9" i="7"/>
  <c r="S13" i="7"/>
  <c r="G32" i="7" s="1"/>
  <c r="I32" i="7" s="1"/>
  <c r="R13" i="7"/>
  <c r="B32" i="7" s="1"/>
  <c r="G13" i="7"/>
  <c r="S10" i="7"/>
  <c r="G29" i="7" s="1"/>
  <c r="I29" i="7" s="1"/>
  <c r="R10" i="7"/>
  <c r="B29" i="7" s="1"/>
  <c r="G10" i="7"/>
  <c r="S7" i="7"/>
  <c r="G26" i="7" s="1"/>
  <c r="I26" i="7" s="1"/>
  <c r="R7" i="7"/>
  <c r="B26" i="7" s="1"/>
  <c r="G7" i="7"/>
  <c r="R11" i="7"/>
  <c r="B30" i="7" s="1"/>
  <c r="S11" i="7"/>
  <c r="G30" i="7" s="1"/>
  <c r="I30" i="7" s="1"/>
  <c r="G11" i="7"/>
  <c r="S15" i="7"/>
  <c r="G34" i="7" s="1"/>
  <c r="I34" i="7" s="1"/>
  <c r="G15" i="7"/>
  <c r="R15" i="7"/>
  <c r="B34" i="7" s="1"/>
  <c r="R14" i="7"/>
  <c r="B33" i="7" s="1"/>
  <c r="S14" i="7"/>
  <c r="G33" i="7" s="1"/>
  <c r="I33" i="7" s="1"/>
  <c r="G14" i="7"/>
  <c r="S4" i="7"/>
  <c r="R4" i="7"/>
  <c r="B23" i="7" s="1"/>
  <c r="G4" i="7"/>
  <c r="E16" i="7"/>
  <c r="P4" i="3"/>
  <c r="G23" i="3" s="1"/>
  <c r="I23" i="3" s="1"/>
  <c r="E16" i="3"/>
  <c r="R12" i="7"/>
  <c r="B31" i="7" s="1"/>
  <c r="S12" i="7"/>
  <c r="G31" i="7" s="1"/>
  <c r="I31" i="7" s="1"/>
  <c r="G12" i="7"/>
  <c r="P15" i="3"/>
  <c r="O15" i="3"/>
  <c r="B34" i="3" s="1"/>
  <c r="D34" i="3" s="1"/>
  <c r="G15" i="3"/>
  <c r="G12" i="3"/>
  <c r="P12" i="3"/>
  <c r="O12" i="3"/>
  <c r="P7" i="3"/>
  <c r="G26" i="3" s="1"/>
  <c r="V13" i="3" s="1"/>
  <c r="O4" i="3"/>
  <c r="B23" i="3" s="1"/>
  <c r="D23" i="3" s="1"/>
  <c r="G7" i="3"/>
  <c r="O8" i="3"/>
  <c r="B27" i="3" s="1"/>
  <c r="D27" i="3" s="1"/>
  <c r="G8" i="3"/>
  <c r="P8" i="3"/>
  <c r="G27" i="3" s="1"/>
  <c r="I27" i="3" s="1"/>
  <c r="G9" i="3"/>
  <c r="P9" i="3"/>
  <c r="G28" i="3" s="1"/>
  <c r="I28" i="3" s="1"/>
  <c r="O9" i="3"/>
  <c r="B28" i="3" s="1"/>
  <c r="D28" i="3" s="1"/>
  <c r="P10" i="3"/>
  <c r="G29" i="3" s="1"/>
  <c r="I29" i="3" s="1"/>
  <c r="O10" i="3"/>
  <c r="B29" i="3" s="1"/>
  <c r="D29" i="3" s="1"/>
  <c r="G10" i="3"/>
  <c r="D26" i="3"/>
  <c r="G4" i="3"/>
  <c r="G5" i="3"/>
  <c r="O5" i="3"/>
  <c r="B24" i="3" s="1"/>
  <c r="D24" i="3" s="1"/>
  <c r="P5" i="3"/>
  <c r="G24" i="3" s="1"/>
  <c r="I24" i="3" s="1"/>
  <c r="F16" i="3"/>
  <c r="P6" i="3"/>
  <c r="G25" i="3" s="1"/>
  <c r="I25" i="3" s="1"/>
  <c r="O6" i="3"/>
  <c r="B25" i="3" s="1"/>
  <c r="G6" i="3"/>
  <c r="G16" i="11" l="1"/>
  <c r="G16" i="13"/>
  <c r="G23" i="13"/>
  <c r="I31" i="14"/>
  <c r="M49" i="14"/>
  <c r="I26" i="13"/>
  <c r="M44" i="13"/>
  <c r="I31" i="13"/>
  <c r="M49" i="13"/>
  <c r="I32" i="13"/>
  <c r="M50" i="13"/>
  <c r="I29" i="13"/>
  <c r="M47" i="13"/>
  <c r="D24" i="13"/>
  <c r="M42" i="13"/>
  <c r="I23" i="13"/>
  <c r="G35" i="13"/>
  <c r="M43" i="13"/>
  <c r="D25" i="13"/>
  <c r="M41" i="13"/>
  <c r="B35" i="13"/>
  <c r="D23" i="13"/>
  <c r="I30" i="14"/>
  <c r="M48" i="14"/>
  <c r="I33" i="13"/>
  <c r="M51" i="13"/>
  <c r="I33" i="14"/>
  <c r="M51" i="14"/>
  <c r="I27" i="13"/>
  <c r="M45" i="13"/>
  <c r="I26" i="14"/>
  <c r="M44" i="14"/>
  <c r="I34" i="13"/>
  <c r="M52" i="13"/>
  <c r="I32" i="14"/>
  <c r="M50" i="14"/>
  <c r="D25" i="14"/>
  <c r="M43" i="14"/>
  <c r="I30" i="13"/>
  <c r="M48" i="13"/>
  <c r="G35" i="14"/>
  <c r="I23" i="14"/>
  <c r="I27" i="14"/>
  <c r="M45" i="14"/>
  <c r="I34" i="14"/>
  <c r="M52" i="14"/>
  <c r="M42" i="14"/>
  <c r="D24" i="14"/>
  <c r="I28" i="13"/>
  <c r="M46" i="13"/>
  <c r="I28" i="14"/>
  <c r="M46" i="14"/>
  <c r="D23" i="14"/>
  <c r="B35" i="14"/>
  <c r="M41" i="14"/>
  <c r="I29" i="14"/>
  <c r="M47" i="14"/>
  <c r="G23" i="10"/>
  <c r="M41" i="10" s="1"/>
  <c r="M43" i="10"/>
  <c r="M43" i="11"/>
  <c r="D25" i="11"/>
  <c r="D32" i="11"/>
  <c r="M50" i="11"/>
  <c r="M45" i="11"/>
  <c r="D27" i="11"/>
  <c r="M49" i="11"/>
  <c r="D31" i="11"/>
  <c r="D29" i="11"/>
  <c r="M47" i="11"/>
  <c r="D28" i="11"/>
  <c r="M46" i="11"/>
  <c r="D30" i="11"/>
  <c r="M48" i="11"/>
  <c r="D33" i="11"/>
  <c r="M51" i="11"/>
  <c r="M52" i="11"/>
  <c r="D34" i="11"/>
  <c r="M44" i="11"/>
  <c r="D26" i="11"/>
  <c r="D23" i="11"/>
  <c r="B35" i="11"/>
  <c r="D24" i="11"/>
  <c r="M42" i="11"/>
  <c r="G23" i="11"/>
  <c r="M41" i="11" s="1"/>
  <c r="D32" i="10"/>
  <c r="M50" i="10"/>
  <c r="D26" i="10"/>
  <c r="M44" i="10"/>
  <c r="D25" i="10"/>
  <c r="D27" i="10"/>
  <c r="M45" i="10"/>
  <c r="D31" i="10"/>
  <c r="M49" i="10"/>
  <c r="D33" i="10"/>
  <c r="M51" i="10"/>
  <c r="D29" i="10"/>
  <c r="M47" i="10"/>
  <c r="G16" i="10"/>
  <c r="D24" i="10"/>
  <c r="M42" i="10"/>
  <c r="B35" i="10"/>
  <c r="M46" i="10"/>
  <c r="D28" i="10"/>
  <c r="D30" i="10"/>
  <c r="M48" i="10"/>
  <c r="M52" i="10"/>
  <c r="D34" i="10"/>
  <c r="G35" i="9"/>
  <c r="I23" i="9"/>
  <c r="M41" i="9"/>
  <c r="I26" i="9"/>
  <c r="M44" i="9"/>
  <c r="I28" i="9"/>
  <c r="M46" i="9"/>
  <c r="I31" i="9"/>
  <c r="M49" i="9"/>
  <c r="I34" i="9"/>
  <c r="M52" i="9"/>
  <c r="I30" i="9"/>
  <c r="M48" i="9"/>
  <c r="I27" i="9"/>
  <c r="M45" i="9"/>
  <c r="I25" i="9"/>
  <c r="M43" i="9"/>
  <c r="I33" i="9"/>
  <c r="M51" i="9"/>
  <c r="I29" i="9"/>
  <c r="M47" i="9"/>
  <c r="I32" i="9"/>
  <c r="M50" i="9"/>
  <c r="I24" i="9"/>
  <c r="M42" i="9"/>
  <c r="G16" i="7"/>
  <c r="G34" i="8"/>
  <c r="I34" i="8" s="1"/>
  <c r="G33" i="8"/>
  <c r="M51" i="8" s="1"/>
  <c r="G16" i="8"/>
  <c r="G30" i="8"/>
  <c r="I30" i="8" s="1"/>
  <c r="G28" i="8"/>
  <c r="I28" i="8" s="1"/>
  <c r="G32" i="8"/>
  <c r="I32" i="8" s="1"/>
  <c r="G26" i="8"/>
  <c r="V17" i="3"/>
  <c r="G27" i="8"/>
  <c r="I27" i="8" s="1"/>
  <c r="G31" i="8"/>
  <c r="M49" i="8" s="1"/>
  <c r="D34" i="8"/>
  <c r="D26" i="8"/>
  <c r="D33" i="8"/>
  <c r="D25" i="8"/>
  <c r="M43" i="8"/>
  <c r="D27" i="8"/>
  <c r="D28" i="8"/>
  <c r="M47" i="8"/>
  <c r="D29" i="8"/>
  <c r="D31" i="8"/>
  <c r="B35" i="8"/>
  <c r="D23" i="8"/>
  <c r="M42" i="8"/>
  <c r="D24" i="8"/>
  <c r="D32" i="8"/>
  <c r="M41" i="8"/>
  <c r="I23" i="8"/>
  <c r="D30" i="8"/>
  <c r="M51" i="7"/>
  <c r="G23" i="7"/>
  <c r="I23" i="7" s="1"/>
  <c r="I35" i="7" s="1"/>
  <c r="G33" i="3"/>
  <c r="G34" i="3"/>
  <c r="I34" i="3" s="1"/>
  <c r="M42" i="7"/>
  <c r="D24" i="7"/>
  <c r="M48" i="7"/>
  <c r="D30" i="7"/>
  <c r="M50" i="7"/>
  <c r="D32" i="7"/>
  <c r="D27" i="7"/>
  <c r="M45" i="7"/>
  <c r="B31" i="3"/>
  <c r="D31" i="3" s="1"/>
  <c r="M49" i="7"/>
  <c r="D31" i="7"/>
  <c r="M44" i="7"/>
  <c r="D26" i="7"/>
  <c r="V19" i="3"/>
  <c r="D34" i="7"/>
  <c r="M52" i="7"/>
  <c r="M46" i="7"/>
  <c r="D28" i="7"/>
  <c r="D25" i="7"/>
  <c r="M43" i="7"/>
  <c r="G31" i="3"/>
  <c r="I31" i="3" s="1"/>
  <c r="D33" i="7"/>
  <c r="D29" i="7"/>
  <c r="M47" i="7"/>
  <c r="D23" i="7"/>
  <c r="B35" i="7"/>
  <c r="I26" i="3"/>
  <c r="V14" i="3"/>
  <c r="V10" i="3"/>
  <c r="G16" i="3"/>
  <c r="V16" i="3"/>
  <c r="V15" i="3"/>
  <c r="V11" i="3"/>
  <c r="D25" i="3"/>
  <c r="G35" i="10" l="1"/>
  <c r="I23" i="10"/>
  <c r="I35" i="10" s="1"/>
  <c r="D35" i="13"/>
  <c r="I35" i="14"/>
  <c r="D35" i="14"/>
  <c r="I35" i="13"/>
  <c r="D35" i="11"/>
  <c r="G35" i="11"/>
  <c r="I23" i="11"/>
  <c r="I35" i="11" s="1"/>
  <c r="M48" i="8"/>
  <c r="D35" i="10"/>
  <c r="M46" i="8"/>
  <c r="I35" i="9"/>
  <c r="M52" i="8"/>
  <c r="I33" i="8"/>
  <c r="M50" i="8"/>
  <c r="I31" i="8"/>
  <c r="M45" i="8"/>
  <c r="G35" i="8"/>
  <c r="I26" i="8"/>
  <c r="M44" i="8"/>
  <c r="D35" i="8"/>
  <c r="M41" i="7"/>
  <c r="G35" i="7"/>
  <c r="G35" i="3"/>
  <c r="V21" i="3"/>
  <c r="I33" i="3"/>
  <c r="I35" i="3" s="1"/>
  <c r="V20" i="3"/>
  <c r="D35" i="7"/>
  <c r="V18" i="3"/>
  <c r="D35" i="3"/>
  <c r="V12" i="3"/>
  <c r="B35" i="3"/>
  <c r="I35" i="8" l="1"/>
</calcChain>
</file>

<file path=xl/sharedStrings.xml><?xml version="1.0" encoding="utf-8"?>
<sst xmlns="http://schemas.openxmlformats.org/spreadsheetml/2006/main" count="892" uniqueCount="65">
  <si>
    <t>VALOR DÓLAR</t>
  </si>
  <si>
    <t>UTE/4</t>
  </si>
  <si>
    <t>OSE/3</t>
  </si>
  <si>
    <t>ANTEL/3</t>
  </si>
  <si>
    <t>NETLIX/4</t>
  </si>
  <si>
    <t>MES</t>
  </si>
  <si>
    <t>UTE</t>
  </si>
  <si>
    <t>OSE</t>
  </si>
  <si>
    <t>ANTEL</t>
  </si>
  <si>
    <t>NETFLIX</t>
  </si>
  <si>
    <t>SPOTIFY</t>
  </si>
  <si>
    <t>TOTAL</t>
  </si>
  <si>
    <t>MAMA</t>
  </si>
  <si>
    <t>PAOLA</t>
  </si>
  <si>
    <t>ENERO</t>
  </si>
  <si>
    <t>EXTRAS</t>
  </si>
  <si>
    <t>DOLARES A PESOS</t>
  </si>
  <si>
    <t>FEBRERO</t>
  </si>
  <si>
    <t>VIAJE</t>
  </si>
  <si>
    <t>MARZO</t>
  </si>
  <si>
    <t>ABRIL</t>
  </si>
  <si>
    <t>MAYO</t>
  </si>
  <si>
    <t>JUNIO</t>
  </si>
  <si>
    <t>JULIO</t>
  </si>
  <si>
    <t>AGOSTO</t>
  </si>
  <si>
    <t>DOLARES</t>
  </si>
  <si>
    <t>SEPTIEMBRE</t>
  </si>
  <si>
    <t>OCTUBRE</t>
  </si>
  <si>
    <t>NOVIEMBRE</t>
  </si>
  <si>
    <t>DICIEMBRE</t>
  </si>
  <si>
    <t>ANUAL</t>
  </si>
  <si>
    <t>VARIOS</t>
  </si>
  <si>
    <t>DESC</t>
  </si>
  <si>
    <t>NEGATIVO</t>
  </si>
  <si>
    <t>FIESTAS 12</t>
  </si>
  <si>
    <t>CARPA</t>
  </si>
  <si>
    <t>TOTAL RECUPERO</t>
  </si>
  <si>
    <t>ASADO</t>
  </si>
  <si>
    <t>IPTV</t>
  </si>
  <si>
    <t>primero mayo</t>
  </si>
  <si>
    <t>pasto</t>
  </si>
  <si>
    <t>RAQUEL</t>
  </si>
  <si>
    <t>SPOTIFY/4</t>
  </si>
  <si>
    <t>UTE/5</t>
  </si>
  <si>
    <t>OSE/4</t>
  </si>
  <si>
    <t>ANTEL/4</t>
  </si>
  <si>
    <t>NETLIX/5</t>
  </si>
  <si>
    <t>RECUPERO</t>
  </si>
  <si>
    <t>FIESTAS</t>
  </si>
  <si>
    <t>PASTO</t>
  </si>
  <si>
    <t xml:space="preserve">SPOTIFY/4 </t>
  </si>
  <si>
    <t>Comidas</t>
  </si>
  <si>
    <t>2/12 parrillero</t>
  </si>
  <si>
    <t>2/12 comida 23/09</t>
  </si>
  <si>
    <t>1/12 comida 26/10</t>
  </si>
  <si>
    <t>pasto /4 $125</t>
  </si>
  <si>
    <t>1355 mama</t>
  </si>
  <si>
    <t>3101 pao</t>
  </si>
  <si>
    <t>Extras</t>
  </si>
  <si>
    <t>850 mauro</t>
  </si>
  <si>
    <t>Deuda Raquel porton</t>
  </si>
  <si>
    <t>aire $600</t>
  </si>
  <si>
    <t>NETLIX/3</t>
  </si>
  <si>
    <t>SPOTIFY/6</t>
  </si>
  <si>
    <t>piscologo 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</si>
</sst>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.00"/>
  </numFmts>
  <fonts count="16" x14ac:knownFonts="1">
    <font>
      <sz val="11"/>
      <color rgb="FF000000"/>
      <name val="Calibri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70C0"/>
      <name val="Calibri"/>
      <family val="2"/>
    </font>
    <font>
      <b/>
      <sz val="11"/>
      <color rgb="FF7030A0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rgb="FF8DB3E2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Font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0" fillId="0" borderId="2" xfId="0" applyFont="1" applyBorder="1"/>
    <xf numFmtId="0" fontId="1" fillId="3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7" borderId="2" xfId="0" applyFont="1" applyFill="1" applyBorder="1"/>
    <xf numFmtId="0" fontId="0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/>
    <xf numFmtId="0" fontId="3" fillId="7" borderId="2" xfId="0" applyFont="1" applyFill="1" applyBorder="1" applyAlignment="1">
      <alignment horizontal="center"/>
    </xf>
    <xf numFmtId="0" fontId="7" fillId="5" borderId="2" xfId="0" applyFont="1" applyFill="1" applyBorder="1"/>
    <xf numFmtId="0" fontId="9" fillId="8" borderId="6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0" fillId="8" borderId="6" xfId="0" applyFont="1" applyFill="1" applyBorder="1" applyAlignment="1"/>
    <xf numFmtId="0" fontId="0" fillId="8" borderId="6" xfId="0" applyFont="1" applyFill="1" applyBorder="1" applyAlignment="1">
      <alignment horizontal="center"/>
    </xf>
    <xf numFmtId="0" fontId="10" fillId="8" borderId="6" xfId="0" applyFont="1" applyFill="1" applyBorder="1" applyAlignment="1"/>
    <xf numFmtId="0" fontId="8" fillId="8" borderId="6" xfId="0" applyFont="1" applyFill="1" applyBorder="1" applyAlignment="1">
      <alignment horizontal="center"/>
    </xf>
    <xf numFmtId="0" fontId="12" fillId="9" borderId="6" xfId="0" applyFont="1" applyFill="1" applyBorder="1" applyAlignment="1"/>
    <xf numFmtId="0" fontId="13" fillId="9" borderId="6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10" fillId="0" borderId="0" xfId="0" applyNumberFormat="1" applyFont="1" applyAlignment="1">
      <alignment horizontal="center"/>
    </xf>
    <xf numFmtId="0" fontId="10" fillId="0" borderId="0" xfId="0" applyFont="1" applyAlignment="1"/>
    <xf numFmtId="0" fontId="10" fillId="8" borderId="6" xfId="0" applyNumberFormat="1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7" borderId="5" xfId="0" applyFont="1" applyFill="1" applyBorder="1"/>
    <xf numFmtId="0" fontId="10" fillId="11" borderId="6" xfId="0" applyFont="1" applyFill="1" applyBorder="1" applyAlignment="1">
      <alignment horizontal="center"/>
    </xf>
    <xf numFmtId="0" fontId="10" fillId="12" borderId="0" xfId="0" applyFont="1" applyFill="1" applyAlignment="1"/>
    <xf numFmtId="0" fontId="0" fillId="12" borderId="6" xfId="0" applyFont="1" applyFill="1" applyBorder="1" applyAlignment="1">
      <alignment horizontal="center"/>
    </xf>
    <xf numFmtId="0" fontId="15" fillId="7" borderId="2" xfId="1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8" fillId="7" borderId="2" xfId="0" applyFont="1" applyFill="1" applyBorder="1"/>
    <xf numFmtId="0" fontId="0" fillId="8" borderId="1" xfId="0" applyFont="1" applyFill="1" applyBorder="1" applyAlignment="1"/>
    <xf numFmtId="0" fontId="0" fillId="0" borderId="0" xfId="0"/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/>
    <xf numFmtId="0" fontId="0" fillId="8" borderId="6" xfId="0" applyFill="1" applyBorder="1"/>
    <xf numFmtId="0" fontId="1" fillId="8" borderId="6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0" fillId="8" borderId="6" xfId="0" applyFont="1" applyFill="1" applyBorder="1"/>
    <xf numFmtId="0" fontId="2" fillId="11" borderId="0" xfId="0" applyFont="1" applyFill="1" applyAlignment="1">
      <alignment horizontal="center"/>
    </xf>
    <xf numFmtId="0" fontId="13" fillId="9" borderId="6" xfId="0" applyFont="1" applyFill="1" applyBorder="1"/>
    <xf numFmtId="0" fontId="10" fillId="0" borderId="0" xfId="0" applyFont="1"/>
    <xf numFmtId="0" fontId="6" fillId="9" borderId="6" xfId="0" applyFont="1" applyFill="1" applyBorder="1"/>
    <xf numFmtId="0" fontId="2" fillId="6" borderId="7" xfId="0" applyFont="1" applyFill="1" applyBorder="1" applyAlignment="1">
      <alignment horizontal="center"/>
    </xf>
    <xf numFmtId="0" fontId="7" fillId="5" borderId="5" xfId="0" applyFont="1" applyFill="1" applyBorder="1"/>
    <xf numFmtId="0" fontId="0" fillId="15" borderId="0" xfId="0" applyFill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8" borderId="8" xfId="0" applyFill="1" applyBorder="1"/>
    <xf numFmtId="0" fontId="0" fillId="0" borderId="1" xfId="0" applyBorder="1"/>
    <xf numFmtId="0" fontId="8" fillId="0" borderId="6" xfId="0" applyFont="1" applyBorder="1"/>
    <xf numFmtId="49" fontId="10" fillId="0" borderId="0" xfId="0" applyNumberFormat="1" applyFont="1" applyAlignment="1">
      <alignment horizontal="right"/>
    </xf>
    <xf numFmtId="0" fontId="2" fillId="8" borderId="6" xfId="0" applyFont="1" applyFill="1" applyBorder="1" applyAlignment="1">
      <alignment horizontal="center"/>
    </xf>
    <xf numFmtId="0" fontId="0" fillId="14" borderId="6" xfId="0" applyFill="1" applyBorder="1"/>
    <xf numFmtId="0" fontId="0" fillId="0" borderId="6" xfId="0" applyBorder="1"/>
    <xf numFmtId="0" fontId="0" fillId="16" borderId="6" xfId="0" applyFill="1" applyBorder="1"/>
    <xf numFmtId="164" fontId="13" fillId="9" borderId="6" xfId="0" applyNumberFormat="1" applyFont="1" applyFill="1" applyBorder="1"/>
    <xf numFmtId="164" fontId="0" fillId="7" borderId="2" xfId="0" applyNumberFormat="1" applyFill="1" applyBorder="1" applyAlignment="1">
      <alignment horizontal="center"/>
    </xf>
    <xf numFmtId="164" fontId="0" fillId="7" borderId="2" xfId="0" applyNumberFormat="1" applyFill="1" applyBorder="1"/>
    <xf numFmtId="164" fontId="2" fillId="7" borderId="2" xfId="0" applyNumberFormat="1" applyFont="1" applyFill="1" applyBorder="1" applyAlignment="1">
      <alignment horizontal="center"/>
    </xf>
    <xf numFmtId="164" fontId="7" fillId="5" borderId="2" xfId="0" applyNumberFormat="1" applyFont="1" applyFill="1" applyBorder="1"/>
    <xf numFmtId="164" fontId="7" fillId="5" borderId="5" xfId="0" applyNumberFormat="1" applyFont="1" applyFill="1" applyBorder="1"/>
    <xf numFmtId="164" fontId="0" fillId="8" borderId="8" xfId="0" applyNumberFormat="1" applyFill="1" applyBorder="1"/>
    <xf numFmtId="164" fontId="0" fillId="8" borderId="6" xfId="0" applyNumberFormat="1" applyFill="1" applyBorder="1"/>
    <xf numFmtId="164" fontId="0" fillId="14" borderId="6" xfId="0" applyNumberFormat="1" applyFill="1" applyBorder="1"/>
    <xf numFmtId="164" fontId="0" fillId="16" borderId="6" xfId="0" applyNumberFormat="1" applyFill="1" applyBorder="1"/>
    <xf numFmtId="164" fontId="0" fillId="0" borderId="6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selection activeCell="O15" sqref="O15"/>
    </sheetView>
  </sheetViews>
  <sheetFormatPr baseColWidth="10" defaultColWidth="14.42578125" defaultRowHeight="15" customHeight="1" x14ac:dyDescent="0.25"/>
  <cols>
    <col min="1" max="1" width="10.7109375" customWidth="1"/>
    <col min="2" max="2" width="17.7109375" customWidth="1"/>
    <col min="3" max="3" width="10.7109375" customWidth="1"/>
    <col min="4" max="4" width="38.85546875" customWidth="1"/>
    <col min="5" max="5" width="11.42578125" customWidth="1"/>
    <col min="6" max="7" width="10.7109375" customWidth="1"/>
    <col min="8" max="8" width="12.28515625" customWidth="1"/>
    <col min="9" max="11" width="10.7109375" customWidth="1"/>
    <col min="12" max="12" width="18.42578125" customWidth="1"/>
    <col min="13" max="13" width="23.85546875" customWidth="1"/>
    <col min="14" max="14" width="11.42578125" customWidth="1"/>
    <col min="15" max="15" width="43.7109375" customWidth="1"/>
  </cols>
  <sheetData>
    <row r="1" spans="1:14" x14ac:dyDescent="0.25">
      <c r="D1" s="1" t="s">
        <v>0</v>
      </c>
      <c r="E1" s="1">
        <v>42</v>
      </c>
      <c r="L1" s="2"/>
      <c r="M1" s="2"/>
      <c r="N1" s="2"/>
    </row>
    <row r="2" spans="1:14" x14ac:dyDescent="0.25">
      <c r="E2" s="2"/>
      <c r="H2" s="2"/>
    </row>
    <row r="3" spans="1:14" x14ac:dyDescent="0.25">
      <c r="B3" s="2"/>
      <c r="C3" s="2"/>
      <c r="D3" s="2"/>
      <c r="E3" s="2"/>
      <c r="F3" s="2"/>
      <c r="G3" s="2"/>
      <c r="H3" s="2"/>
      <c r="I3" s="2"/>
      <c r="J3" s="2"/>
    </row>
    <row r="4" spans="1:14" x14ac:dyDescent="0.25">
      <c r="A4" s="2"/>
      <c r="B4" s="2"/>
      <c r="C4" s="2"/>
      <c r="E4" s="2"/>
      <c r="F4" s="2"/>
      <c r="G4" s="2"/>
      <c r="H4" s="2"/>
      <c r="I4" s="2"/>
      <c r="J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x14ac:dyDescent="0.25">
      <c r="A14" s="15"/>
      <c r="B14" s="16" t="s">
        <v>16</v>
      </c>
      <c r="C14" s="2"/>
      <c r="D14" s="2"/>
      <c r="E14" s="2"/>
      <c r="F14" s="2"/>
      <c r="G14" s="2"/>
      <c r="H14" s="2"/>
      <c r="I14" s="2"/>
      <c r="J14" s="2"/>
    </row>
    <row r="15" spans="1:14" x14ac:dyDescent="0.25">
      <c r="A15" s="16" t="s">
        <v>18</v>
      </c>
      <c r="B15" s="17">
        <f>B23*E1</f>
        <v>0</v>
      </c>
      <c r="C15" s="2"/>
      <c r="D15" s="2"/>
      <c r="E15" s="2"/>
      <c r="F15" s="2"/>
      <c r="G15" s="2"/>
      <c r="H15" s="2"/>
      <c r="I15" s="2"/>
      <c r="J15" s="2"/>
    </row>
    <row r="16" spans="1:14" x14ac:dyDescent="0.25">
      <c r="A16" s="16" t="s">
        <v>9</v>
      </c>
      <c r="B16" s="17">
        <f>B24*E1</f>
        <v>882</v>
      </c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16" t="s">
        <v>10</v>
      </c>
      <c r="B17" s="17">
        <f>B25*E1</f>
        <v>630</v>
      </c>
      <c r="C17" s="2"/>
      <c r="E17" s="2"/>
      <c r="F17" s="2"/>
      <c r="G17" s="2"/>
      <c r="H17" s="2"/>
      <c r="I17" s="2"/>
      <c r="J17" s="2"/>
    </row>
    <row r="18" spans="1:10" x14ac:dyDescent="0.25">
      <c r="A18" s="16"/>
      <c r="B18" s="2"/>
      <c r="C18" s="2"/>
      <c r="E18" s="2"/>
      <c r="F18" s="2"/>
      <c r="G18" s="2"/>
      <c r="H18" s="2"/>
      <c r="I18" s="2"/>
      <c r="J18" s="2"/>
    </row>
    <row r="19" spans="1:10" x14ac:dyDescent="0.25">
      <c r="A19" s="16"/>
      <c r="B19" s="2"/>
      <c r="C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E20" s="2"/>
      <c r="F20" s="2"/>
      <c r="G20" s="2"/>
      <c r="H20" s="2"/>
      <c r="I20" s="2"/>
      <c r="J20" s="2"/>
    </row>
    <row r="21" spans="1:10" ht="15.75" customHeight="1" x14ac:dyDescent="0.25">
      <c r="A21" s="2"/>
      <c r="B21" s="2"/>
      <c r="C21" s="2"/>
      <c r="E21" s="2"/>
      <c r="F21" s="2"/>
      <c r="G21" s="2"/>
      <c r="H21" s="2"/>
      <c r="I21" s="2"/>
      <c r="J21" s="2"/>
    </row>
    <row r="22" spans="1:10" ht="15.75" customHeight="1" x14ac:dyDescent="0.25">
      <c r="A22" s="2"/>
      <c r="B22" s="2" t="s">
        <v>25</v>
      </c>
      <c r="C22" s="2"/>
      <c r="E22" s="2"/>
      <c r="F22" s="2"/>
      <c r="G22" s="2"/>
      <c r="H22" s="2"/>
      <c r="I22" s="2"/>
      <c r="J22" s="2"/>
    </row>
    <row r="23" spans="1:10" ht="15.75" customHeight="1" x14ac:dyDescent="0.25">
      <c r="A23" s="16"/>
      <c r="B23" s="18"/>
      <c r="C23" s="2"/>
      <c r="E23" s="2"/>
      <c r="F23" s="2"/>
      <c r="G23" s="2"/>
      <c r="H23" s="2"/>
      <c r="I23" s="2"/>
      <c r="J23" s="2"/>
    </row>
    <row r="24" spans="1:10" ht="15.75" customHeight="1" x14ac:dyDescent="0.25">
      <c r="A24" s="16" t="s">
        <v>9</v>
      </c>
      <c r="B24" s="19">
        <v>21</v>
      </c>
      <c r="C24" s="2"/>
      <c r="E24" s="2"/>
      <c r="F24" s="2"/>
      <c r="G24" s="2"/>
      <c r="H24" s="2"/>
      <c r="I24" s="2"/>
      <c r="J24" s="2"/>
    </row>
    <row r="25" spans="1:10" ht="15.75" customHeight="1" x14ac:dyDescent="0.25">
      <c r="A25" s="16" t="s">
        <v>10</v>
      </c>
      <c r="B25" s="18">
        <v>15</v>
      </c>
      <c r="C25" s="2"/>
      <c r="E25" s="2"/>
      <c r="F25" s="2"/>
      <c r="G25" s="2"/>
      <c r="H25" s="2"/>
      <c r="I25" s="2"/>
      <c r="J25" s="2"/>
    </row>
    <row r="26" spans="1:10" ht="15.75" customHeight="1" x14ac:dyDescent="0.25">
      <c r="A26" s="16"/>
      <c r="B26" s="20"/>
      <c r="C26" s="2"/>
      <c r="E26" s="2"/>
      <c r="F26" s="2"/>
      <c r="G26" s="2"/>
      <c r="H26" s="2"/>
      <c r="I26" s="2"/>
      <c r="J26" s="2"/>
    </row>
    <row r="27" spans="1:10" ht="15.75" customHeight="1" x14ac:dyDescent="0.25">
      <c r="A27" s="21"/>
      <c r="B27" s="19"/>
      <c r="C27" s="2"/>
      <c r="E27" s="2"/>
      <c r="F27" s="2"/>
      <c r="G27" s="2"/>
      <c r="H27" s="2"/>
      <c r="I27" s="2"/>
      <c r="J27" s="2"/>
    </row>
    <row r="28" spans="1:10" ht="15.75" customHeight="1" x14ac:dyDescent="0.25">
      <c r="A28" s="2"/>
      <c r="B28" s="2"/>
      <c r="C28" s="2"/>
      <c r="E28" s="2"/>
      <c r="F28" s="2"/>
      <c r="G28" s="2"/>
      <c r="H28" s="2"/>
      <c r="I28" s="2"/>
      <c r="J28" s="2"/>
    </row>
    <row r="29" spans="1:10" ht="15.75" customHeight="1" x14ac:dyDescent="0.25">
      <c r="A29" s="2"/>
      <c r="B29" s="2"/>
      <c r="C29" s="2"/>
      <c r="E29" s="2"/>
      <c r="F29" s="2"/>
      <c r="G29" s="2"/>
      <c r="H29" s="2"/>
      <c r="I29" s="2"/>
      <c r="J29" s="2"/>
    </row>
    <row r="30" spans="1:10" ht="15.75" customHeight="1" x14ac:dyDescent="0.25">
      <c r="A30" s="2"/>
      <c r="B30" s="2"/>
      <c r="C30" s="2"/>
      <c r="E30" s="2"/>
      <c r="F30" s="2"/>
      <c r="G30" s="2"/>
      <c r="H30" s="2"/>
      <c r="I30" s="2"/>
      <c r="J30" s="2"/>
    </row>
    <row r="31" spans="1:10" ht="15.75" customHeight="1" x14ac:dyDescent="0.25">
      <c r="A31" s="2"/>
      <c r="B31" s="2"/>
      <c r="C31" s="2"/>
      <c r="E31" s="2"/>
      <c r="F31" s="2"/>
      <c r="G31" s="2"/>
      <c r="H31" s="2"/>
      <c r="I31" s="2"/>
      <c r="J31" s="2"/>
    </row>
    <row r="32" spans="1:10" ht="15.75" customHeight="1" x14ac:dyDescent="0.25">
      <c r="A32" s="2"/>
      <c r="B32" s="2"/>
      <c r="C32" s="2"/>
      <c r="E32" s="2"/>
      <c r="F32" s="2"/>
      <c r="G32" s="2"/>
      <c r="H32" s="2"/>
      <c r="I32" s="2"/>
      <c r="J32" s="2"/>
    </row>
    <row r="33" spans="1:14" ht="15.75" customHeight="1" x14ac:dyDescent="0.25">
      <c r="A33" s="2"/>
      <c r="B33" s="2"/>
      <c r="C33" s="2"/>
      <c r="E33" s="2"/>
      <c r="F33" s="2"/>
      <c r="G33" s="2"/>
      <c r="H33" s="2"/>
      <c r="I33" s="2"/>
      <c r="J33" s="2"/>
    </row>
    <row r="34" spans="1:14" ht="15.75" customHeight="1" x14ac:dyDescent="0.25">
      <c r="A34" s="2"/>
      <c r="B34" s="2"/>
      <c r="C34" s="2"/>
      <c r="E34" s="2"/>
      <c r="F34" s="2"/>
      <c r="G34" s="2"/>
      <c r="H34" s="2"/>
      <c r="I34" s="2"/>
      <c r="J34" s="2"/>
      <c r="L34" s="2"/>
      <c r="M34" s="2"/>
      <c r="N34" s="2"/>
    </row>
    <row r="35" spans="1:14" ht="15.75" customHeight="1" x14ac:dyDescent="0.25">
      <c r="A35" s="2"/>
      <c r="B35" s="2"/>
      <c r="C35" s="2"/>
      <c r="E35" s="2"/>
      <c r="F35" s="2"/>
      <c r="G35" s="2"/>
      <c r="H35" s="2"/>
      <c r="I35" s="2"/>
      <c r="J35" s="2"/>
      <c r="L35" s="2"/>
      <c r="M35" s="2"/>
      <c r="N35" s="2"/>
    </row>
    <row r="36" spans="1:14" ht="15.75" customHeight="1" x14ac:dyDescent="0.25">
      <c r="B36" s="2"/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</row>
    <row r="37" spans="1:14" ht="15.7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</row>
    <row r="38" spans="1:14" ht="15.7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L38" s="2"/>
      <c r="M38" s="2"/>
      <c r="N38" s="2"/>
    </row>
    <row r="39" spans="1:14" ht="15.75" customHeight="1" x14ac:dyDescent="0.25">
      <c r="B39" s="2"/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</row>
    <row r="40" spans="1:14" ht="15.75" customHeight="1" x14ac:dyDescent="0.25"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</row>
    <row r="41" spans="1:14" ht="15.75" customHeight="1" x14ac:dyDescent="0.25">
      <c r="B41" s="2"/>
      <c r="C41" s="2"/>
      <c r="D41" s="2"/>
      <c r="E41" s="2"/>
      <c r="F41" s="2"/>
      <c r="G41" s="2"/>
      <c r="H41" s="2"/>
      <c r="I41" s="2"/>
      <c r="J41" s="2"/>
      <c r="L41" s="2"/>
      <c r="M41" s="2"/>
      <c r="N41" s="2"/>
    </row>
    <row r="42" spans="1:14" ht="15.75" customHeight="1" x14ac:dyDescent="0.25">
      <c r="B42" s="2"/>
      <c r="C42" s="2"/>
      <c r="D42" s="2"/>
      <c r="E42" s="2"/>
      <c r="F42" s="2"/>
      <c r="G42" s="2"/>
      <c r="H42" s="2"/>
      <c r="I42" s="2"/>
      <c r="J42" s="2"/>
      <c r="L42" s="2"/>
      <c r="M42" s="2"/>
      <c r="N42" s="2"/>
    </row>
    <row r="43" spans="1:14" ht="15.75" customHeight="1" x14ac:dyDescent="0.25">
      <c r="B43" s="2"/>
      <c r="C43" s="2"/>
      <c r="D43" s="2"/>
      <c r="E43" s="2"/>
      <c r="F43" s="2"/>
      <c r="G43" s="2"/>
      <c r="H43" s="2"/>
      <c r="I43" s="2"/>
      <c r="J43" s="2"/>
      <c r="L43" s="2"/>
      <c r="M43" s="2"/>
      <c r="N43" s="2"/>
    </row>
    <row r="44" spans="1:14" ht="15.75" customHeight="1" x14ac:dyDescent="0.25">
      <c r="B44" s="2"/>
      <c r="C44" s="2"/>
      <c r="D44" s="2"/>
      <c r="E44" s="2"/>
      <c r="F44" s="2"/>
      <c r="G44" s="2"/>
      <c r="H44" s="2"/>
      <c r="I44" s="2"/>
      <c r="J44" s="2"/>
      <c r="L44" s="2"/>
      <c r="M44" s="2"/>
      <c r="N44" s="2"/>
    </row>
    <row r="45" spans="1:14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L45" s="2"/>
      <c r="M45" s="2"/>
      <c r="N45" s="2"/>
    </row>
    <row r="46" spans="1:14" ht="15.7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</row>
    <row r="47" spans="1:14" ht="15.75" customHeight="1" x14ac:dyDescent="0.25">
      <c r="B47" s="2"/>
      <c r="C47" s="2"/>
      <c r="D47" s="2"/>
      <c r="E47" s="2"/>
      <c r="F47" s="2"/>
      <c r="G47" s="2"/>
      <c r="H47" s="2"/>
      <c r="I47" s="2"/>
      <c r="J47" s="2"/>
      <c r="L47" s="2"/>
      <c r="M47" s="2"/>
      <c r="N47" s="2"/>
    </row>
    <row r="48" spans="1:14" ht="15.75" customHeight="1" x14ac:dyDescent="0.25">
      <c r="B48" s="2"/>
      <c r="C48" s="2"/>
      <c r="D48" s="2"/>
      <c r="E48" s="2"/>
      <c r="F48" s="2"/>
      <c r="G48" s="2"/>
      <c r="H48" s="2"/>
      <c r="I48" s="2"/>
      <c r="J48" s="2"/>
      <c r="L48" s="2"/>
      <c r="M48" s="2"/>
      <c r="N48" s="2"/>
    </row>
    <row r="49" spans="2:14" ht="15.7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L49" s="2"/>
      <c r="M49" s="2"/>
      <c r="N49" s="2"/>
    </row>
    <row r="50" spans="2:14" ht="15.7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L50" s="2"/>
      <c r="M50" s="2"/>
      <c r="N50" s="2"/>
    </row>
    <row r="51" spans="2:14" ht="15.7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L51" s="2"/>
      <c r="M51" s="2"/>
      <c r="N51" s="2"/>
    </row>
    <row r="52" spans="2:14" ht="15.7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L52" s="2"/>
      <c r="M52" s="2"/>
      <c r="N52" s="2"/>
    </row>
    <row r="53" spans="2:14" ht="15.7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L53" s="2"/>
      <c r="M53" s="2"/>
      <c r="N53" s="2"/>
    </row>
    <row r="54" spans="2:14" ht="15.7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L54" s="2"/>
      <c r="M54" s="2"/>
      <c r="N54" s="2"/>
    </row>
    <row r="55" spans="2:14" ht="15.7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L55" s="2"/>
      <c r="M55" s="2"/>
      <c r="N55" s="2"/>
    </row>
    <row r="56" spans="2:14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L56" s="2"/>
      <c r="M56" s="2"/>
      <c r="N56" s="2"/>
    </row>
    <row r="57" spans="2:14" ht="15.7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L57" s="2"/>
      <c r="M57" s="2"/>
      <c r="N57" s="2"/>
    </row>
    <row r="58" spans="2:14" ht="15.7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L58" s="2"/>
      <c r="M58" s="2"/>
      <c r="N58" s="2"/>
    </row>
    <row r="59" spans="2:14" ht="15.75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L59" s="2"/>
      <c r="M59" s="2"/>
      <c r="N59" s="2"/>
    </row>
    <row r="60" spans="2:14" ht="15.7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L60" s="2"/>
      <c r="M60" s="2"/>
      <c r="N60" s="2"/>
    </row>
    <row r="61" spans="2:14" ht="15.7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L61" s="2"/>
      <c r="M61" s="2"/>
      <c r="N61" s="2"/>
    </row>
    <row r="62" spans="2:14" ht="15.7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L62" s="2"/>
      <c r="M62" s="2"/>
      <c r="N62" s="2"/>
    </row>
    <row r="63" spans="2:14" ht="15.7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L63" s="2"/>
      <c r="M63" s="2"/>
      <c r="N63" s="2"/>
    </row>
    <row r="64" spans="2:14" ht="15.7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L64" s="2"/>
      <c r="M64" s="2"/>
      <c r="N64" s="2"/>
    </row>
    <row r="65" spans="2:14" ht="15.7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L65" s="2"/>
      <c r="M65" s="2"/>
      <c r="N65" s="2"/>
    </row>
    <row r="66" spans="2:14" ht="15.7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L66" s="2"/>
      <c r="M66" s="2"/>
      <c r="N66" s="2"/>
    </row>
    <row r="67" spans="2:14" ht="15.7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L67" s="2"/>
      <c r="M67" s="2"/>
      <c r="N67" s="2"/>
    </row>
    <row r="68" spans="2:14" ht="15.7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L68" s="2"/>
      <c r="M68" s="2"/>
      <c r="N68" s="2"/>
    </row>
    <row r="69" spans="2:14" ht="15.75" customHeight="1" x14ac:dyDescent="0.25">
      <c r="B69" s="2"/>
      <c r="C69" s="2"/>
      <c r="D69" s="2"/>
      <c r="E69" s="2"/>
      <c r="F69" s="2"/>
      <c r="G69" s="2"/>
      <c r="H69" s="2"/>
      <c r="I69" s="2"/>
      <c r="J69" s="2"/>
      <c r="L69" s="2"/>
      <c r="M69" s="2"/>
      <c r="N69" s="2"/>
    </row>
    <row r="70" spans="2:14" ht="15.75" customHeight="1" x14ac:dyDescent="0.25">
      <c r="B70" s="2"/>
      <c r="C70" s="2"/>
      <c r="D70" s="2"/>
      <c r="E70" s="2"/>
      <c r="F70" s="2"/>
      <c r="G70" s="2"/>
      <c r="H70" s="2"/>
      <c r="I70" s="2"/>
      <c r="J70" s="2"/>
      <c r="L70" s="2"/>
      <c r="M70" s="2"/>
      <c r="N70" s="2"/>
    </row>
    <row r="71" spans="2:14" ht="15.75" customHeight="1" x14ac:dyDescent="0.25">
      <c r="B71" s="2"/>
      <c r="C71" s="2"/>
      <c r="D71" s="2"/>
      <c r="E71" s="2"/>
      <c r="F71" s="2"/>
      <c r="G71" s="2"/>
      <c r="H71" s="2"/>
      <c r="I71" s="2"/>
      <c r="J71" s="2"/>
      <c r="L71" s="2"/>
      <c r="M71" s="2"/>
      <c r="N71" s="2"/>
    </row>
    <row r="72" spans="2:14" ht="15.75" customHeight="1" x14ac:dyDescent="0.25">
      <c r="B72" s="2"/>
      <c r="C72" s="2"/>
      <c r="D72" s="2"/>
      <c r="E72" s="2"/>
      <c r="F72" s="2"/>
      <c r="G72" s="2"/>
      <c r="H72" s="2"/>
      <c r="I72" s="2"/>
      <c r="J72" s="2"/>
      <c r="L72" s="2"/>
      <c r="M72" s="2"/>
      <c r="N72" s="2"/>
    </row>
    <row r="73" spans="2:14" ht="15.75" customHeight="1" x14ac:dyDescent="0.25">
      <c r="B73" s="2"/>
      <c r="C73" s="2"/>
      <c r="D73" s="2"/>
      <c r="E73" s="2"/>
      <c r="F73" s="2"/>
      <c r="G73" s="2"/>
      <c r="H73" s="2"/>
      <c r="I73" s="2"/>
      <c r="J73" s="2"/>
      <c r="L73" s="2"/>
      <c r="M73" s="2"/>
      <c r="N73" s="2"/>
    </row>
    <row r="74" spans="2:14" ht="15.75" customHeight="1" x14ac:dyDescent="0.25">
      <c r="B74" s="2"/>
      <c r="C74" s="2"/>
      <c r="D74" s="2"/>
      <c r="E74" s="2"/>
      <c r="F74" s="2"/>
      <c r="G74" s="2"/>
      <c r="H74" s="2"/>
      <c r="I74" s="2"/>
      <c r="J74" s="2"/>
      <c r="L74" s="2"/>
      <c r="M74" s="2"/>
      <c r="N74" s="2"/>
    </row>
    <row r="75" spans="2:14" ht="15.75" customHeight="1" x14ac:dyDescent="0.25">
      <c r="B75" s="2"/>
      <c r="C75" s="2"/>
      <c r="D75" s="2"/>
      <c r="E75" s="2"/>
      <c r="F75" s="2"/>
      <c r="G75" s="2"/>
      <c r="H75" s="2"/>
      <c r="I75" s="2"/>
      <c r="J75" s="2"/>
      <c r="L75" s="2"/>
      <c r="M75" s="2"/>
      <c r="N75" s="2"/>
    </row>
    <row r="76" spans="2:14" ht="15.75" customHeight="1" x14ac:dyDescent="0.25">
      <c r="B76" s="2"/>
      <c r="C76" s="2"/>
      <c r="D76" s="2"/>
      <c r="E76" s="2"/>
      <c r="F76" s="2"/>
      <c r="G76" s="2"/>
      <c r="H76" s="2"/>
      <c r="I76" s="2"/>
      <c r="J76" s="2"/>
      <c r="L76" s="2"/>
      <c r="M76" s="2"/>
      <c r="N76" s="2"/>
    </row>
    <row r="77" spans="2:14" ht="15.75" customHeight="1" x14ac:dyDescent="0.25">
      <c r="B77" s="2"/>
      <c r="C77" s="2"/>
      <c r="D77" s="2"/>
      <c r="E77" s="2"/>
      <c r="F77" s="2"/>
      <c r="G77" s="2"/>
      <c r="H77" s="2"/>
      <c r="I77" s="2"/>
      <c r="J77" s="2"/>
      <c r="L77" s="2"/>
      <c r="M77" s="2"/>
      <c r="N77" s="2"/>
    </row>
    <row r="78" spans="2:14" ht="15.75" customHeight="1" x14ac:dyDescent="0.25">
      <c r="B78" s="2"/>
      <c r="C78" s="2"/>
      <c r="D78" s="2"/>
      <c r="E78" s="2"/>
      <c r="F78" s="2"/>
      <c r="G78" s="2"/>
      <c r="H78" s="2"/>
      <c r="I78" s="2"/>
      <c r="J78" s="2"/>
      <c r="L78" s="2"/>
      <c r="M78" s="2"/>
      <c r="N78" s="2"/>
    </row>
    <row r="79" spans="2:14" ht="15.75" customHeight="1" x14ac:dyDescent="0.25">
      <c r="B79" s="2"/>
      <c r="C79" s="2"/>
      <c r="D79" s="2"/>
      <c r="E79" s="2"/>
      <c r="F79" s="2"/>
      <c r="G79" s="2"/>
      <c r="H79" s="2"/>
      <c r="I79" s="2"/>
      <c r="J79" s="2"/>
      <c r="L79" s="2"/>
      <c r="M79" s="2"/>
      <c r="N79" s="2"/>
    </row>
    <row r="80" spans="2:14" ht="15.75" customHeight="1" x14ac:dyDescent="0.25">
      <c r="B80" s="2"/>
      <c r="C80" s="2"/>
      <c r="D80" s="2"/>
      <c r="E80" s="2"/>
      <c r="F80" s="2"/>
      <c r="G80" s="2"/>
      <c r="H80" s="2"/>
      <c r="I80" s="2"/>
      <c r="J80" s="2"/>
      <c r="L80" s="2"/>
      <c r="M80" s="2"/>
      <c r="N80" s="2"/>
    </row>
    <row r="81" spans="2:14" ht="15.75" customHeight="1" x14ac:dyDescent="0.25">
      <c r="B81" s="2"/>
      <c r="C81" s="2"/>
      <c r="D81" s="2"/>
      <c r="E81" s="2"/>
      <c r="F81" s="2"/>
      <c r="G81" s="2"/>
      <c r="H81" s="2"/>
      <c r="I81" s="2"/>
      <c r="J81" s="2"/>
      <c r="L81" s="2"/>
      <c r="M81" s="2"/>
      <c r="N81" s="2"/>
    </row>
    <row r="82" spans="2:14" ht="15.75" customHeight="1" x14ac:dyDescent="0.25">
      <c r="B82" s="2"/>
      <c r="C82" s="2"/>
      <c r="D82" s="2"/>
      <c r="E82" s="2"/>
      <c r="F82" s="2"/>
      <c r="G82" s="2"/>
      <c r="H82" s="2"/>
      <c r="I82" s="2"/>
      <c r="J82" s="2"/>
      <c r="L82" s="2"/>
      <c r="M82" s="2"/>
      <c r="N82" s="2"/>
    </row>
    <row r="83" spans="2:14" ht="15.75" customHeight="1" x14ac:dyDescent="0.25">
      <c r="B83" s="2"/>
      <c r="C83" s="2"/>
      <c r="D83" s="2"/>
      <c r="E83" s="2"/>
      <c r="F83" s="2"/>
      <c r="G83" s="2"/>
      <c r="H83" s="2"/>
      <c r="I83" s="2"/>
      <c r="J83" s="2"/>
      <c r="L83" s="2"/>
      <c r="M83" s="2"/>
      <c r="N83" s="2"/>
    </row>
    <row r="84" spans="2:14" ht="15.75" customHeight="1" x14ac:dyDescent="0.25">
      <c r="B84" s="2"/>
      <c r="C84" s="2"/>
      <c r="D84" s="2"/>
      <c r="E84" s="2"/>
      <c r="F84" s="2"/>
      <c r="G84" s="2"/>
      <c r="H84" s="2"/>
      <c r="I84" s="2"/>
      <c r="J84" s="2"/>
      <c r="L84" s="2"/>
      <c r="M84" s="2"/>
      <c r="N84" s="2"/>
    </row>
    <row r="85" spans="2:14" ht="15.75" customHeight="1" x14ac:dyDescent="0.25">
      <c r="B85" s="2"/>
      <c r="C85" s="2"/>
      <c r="D85" s="2"/>
      <c r="E85" s="2"/>
      <c r="F85" s="2"/>
      <c r="G85" s="2"/>
      <c r="H85" s="2"/>
      <c r="I85" s="2"/>
      <c r="J85" s="2"/>
      <c r="L85" s="2"/>
      <c r="M85" s="2"/>
      <c r="N85" s="2"/>
    </row>
    <row r="86" spans="2:14" ht="15.75" customHeight="1" x14ac:dyDescent="0.25">
      <c r="B86" s="2"/>
      <c r="C86" s="2"/>
      <c r="D86" s="2"/>
      <c r="E86" s="2"/>
      <c r="F86" s="2"/>
      <c r="G86" s="2"/>
      <c r="H86" s="2"/>
      <c r="I86" s="2"/>
      <c r="J86" s="2"/>
      <c r="L86" s="2"/>
      <c r="M86" s="2"/>
      <c r="N86" s="2"/>
    </row>
    <row r="87" spans="2:14" ht="15.75" customHeight="1" x14ac:dyDescent="0.25">
      <c r="B87" s="2"/>
      <c r="C87" s="2"/>
      <c r="D87" s="2"/>
      <c r="E87" s="2"/>
      <c r="F87" s="2"/>
      <c r="G87" s="2"/>
      <c r="H87" s="2"/>
      <c r="I87" s="2"/>
      <c r="J87" s="2"/>
      <c r="L87" s="2"/>
      <c r="M87" s="2"/>
      <c r="N87" s="2"/>
    </row>
    <row r="88" spans="2:14" ht="15.75" customHeight="1" x14ac:dyDescent="0.25">
      <c r="B88" s="2"/>
      <c r="C88" s="2"/>
      <c r="D88" s="2"/>
      <c r="E88" s="2"/>
      <c r="F88" s="2"/>
      <c r="G88" s="2"/>
      <c r="H88" s="2"/>
      <c r="I88" s="2"/>
      <c r="J88" s="2"/>
      <c r="L88" s="2"/>
      <c r="M88" s="2"/>
      <c r="N88" s="2"/>
    </row>
    <row r="89" spans="2:14" ht="15.75" customHeight="1" x14ac:dyDescent="0.25">
      <c r="B89" s="2"/>
      <c r="C89" s="2"/>
      <c r="D89" s="2"/>
      <c r="E89" s="2"/>
      <c r="F89" s="2"/>
      <c r="G89" s="2"/>
      <c r="H89" s="2"/>
      <c r="I89" s="2"/>
      <c r="J89" s="2"/>
      <c r="L89" s="2"/>
      <c r="M89" s="2"/>
      <c r="N89" s="2"/>
    </row>
    <row r="90" spans="2:14" ht="15.75" customHeight="1" x14ac:dyDescent="0.25">
      <c r="B90" s="2"/>
      <c r="C90" s="2"/>
      <c r="D90" s="2"/>
      <c r="E90" s="2"/>
      <c r="F90" s="2"/>
      <c r="G90" s="2"/>
      <c r="H90" s="2"/>
      <c r="I90" s="2"/>
      <c r="J90" s="2"/>
      <c r="L90" s="2"/>
      <c r="M90" s="2"/>
      <c r="N90" s="2"/>
    </row>
    <row r="91" spans="2:14" ht="15.75" customHeight="1" x14ac:dyDescent="0.25">
      <c r="B91" s="2"/>
      <c r="C91" s="2"/>
      <c r="D91" s="2"/>
      <c r="E91" s="2"/>
      <c r="F91" s="2"/>
      <c r="G91" s="2"/>
      <c r="H91" s="2"/>
      <c r="I91" s="2"/>
      <c r="J91" s="2"/>
      <c r="L91" s="2"/>
      <c r="M91" s="2"/>
      <c r="N91" s="2"/>
    </row>
    <row r="92" spans="2:14" ht="15.75" customHeight="1" x14ac:dyDescent="0.25">
      <c r="B92" s="2"/>
      <c r="C92" s="2"/>
      <c r="D92" s="2"/>
      <c r="E92" s="2"/>
      <c r="F92" s="2"/>
      <c r="G92" s="2"/>
      <c r="H92" s="2"/>
      <c r="I92" s="2"/>
      <c r="J92" s="2"/>
      <c r="L92" s="2"/>
      <c r="M92" s="2"/>
      <c r="N92" s="2"/>
    </row>
    <row r="93" spans="2:14" ht="15.75" customHeight="1" x14ac:dyDescent="0.25">
      <c r="B93" s="2"/>
      <c r="C93" s="2"/>
      <c r="D93" s="2"/>
      <c r="E93" s="2"/>
      <c r="F93" s="2"/>
      <c r="G93" s="2"/>
      <c r="H93" s="2"/>
      <c r="I93" s="2"/>
      <c r="J93" s="2"/>
      <c r="L93" s="2"/>
      <c r="M93" s="2"/>
      <c r="N93" s="2"/>
    </row>
    <row r="94" spans="2:14" ht="15.75" customHeight="1" x14ac:dyDescent="0.25">
      <c r="B94" s="2"/>
      <c r="C94" s="2"/>
      <c r="D94" s="2"/>
      <c r="E94" s="2"/>
      <c r="F94" s="2"/>
      <c r="G94" s="2"/>
      <c r="H94" s="2"/>
      <c r="I94" s="2"/>
      <c r="J94" s="2"/>
      <c r="L94" s="2"/>
      <c r="M94" s="2"/>
      <c r="N94" s="2"/>
    </row>
    <row r="95" spans="2:14" ht="15.75" customHeight="1" x14ac:dyDescent="0.25">
      <c r="B95" s="2"/>
      <c r="C95" s="2"/>
      <c r="D95" s="2"/>
      <c r="E95" s="2"/>
      <c r="F95" s="2"/>
      <c r="G95" s="2"/>
      <c r="H95" s="2"/>
      <c r="I95" s="2"/>
      <c r="J95" s="2"/>
      <c r="L95" s="2"/>
      <c r="M95" s="2"/>
      <c r="N95" s="2"/>
    </row>
    <row r="96" spans="2:14" ht="15.75" customHeight="1" x14ac:dyDescent="0.25">
      <c r="B96" s="2"/>
      <c r="C96" s="2"/>
      <c r="D96" s="2"/>
      <c r="E96" s="2"/>
      <c r="F96" s="2"/>
      <c r="G96" s="2"/>
      <c r="H96" s="2"/>
      <c r="I96" s="2"/>
      <c r="J96" s="2"/>
      <c r="L96" s="2"/>
      <c r="M96" s="2"/>
      <c r="N96" s="2"/>
    </row>
    <row r="97" spans="2:14" ht="15.75" customHeight="1" x14ac:dyDescent="0.25">
      <c r="B97" s="2"/>
      <c r="C97" s="2"/>
      <c r="D97" s="2"/>
      <c r="E97" s="2"/>
      <c r="F97" s="2"/>
      <c r="G97" s="2"/>
      <c r="H97" s="2"/>
      <c r="I97" s="2"/>
      <c r="J97" s="2"/>
      <c r="L97" s="2"/>
      <c r="M97" s="2"/>
      <c r="N97" s="2"/>
    </row>
    <row r="98" spans="2:14" ht="15.75" customHeight="1" x14ac:dyDescent="0.25">
      <c r="E98" s="2"/>
      <c r="L98" s="2"/>
      <c r="M98" s="2"/>
      <c r="N98" s="2"/>
    </row>
    <row r="99" spans="2:14" ht="15.75" customHeight="1" x14ac:dyDescent="0.25">
      <c r="E99" s="2"/>
      <c r="L99" s="2"/>
      <c r="M99" s="2"/>
      <c r="N99" s="2"/>
    </row>
    <row r="100" spans="2:14" ht="15.75" customHeight="1" x14ac:dyDescent="0.25">
      <c r="E100" s="2"/>
      <c r="L100" s="2"/>
      <c r="M100" s="2"/>
      <c r="N100" s="2"/>
    </row>
    <row r="101" spans="2:14" ht="15.75" customHeight="1" x14ac:dyDescent="0.25">
      <c r="E101" s="2"/>
      <c r="L101" s="2"/>
      <c r="M101" s="2"/>
      <c r="N101" s="2"/>
    </row>
    <row r="102" spans="2:14" ht="15.75" customHeight="1" x14ac:dyDescent="0.25">
      <c r="E102" s="2"/>
      <c r="L102" s="2"/>
      <c r="M102" s="2"/>
      <c r="N102" s="2"/>
    </row>
    <row r="103" spans="2:14" ht="15.75" customHeight="1" x14ac:dyDescent="0.25">
      <c r="E103" s="2"/>
      <c r="L103" s="2"/>
      <c r="M103" s="2"/>
      <c r="N103" s="2"/>
    </row>
    <row r="104" spans="2:14" ht="15.75" customHeight="1" x14ac:dyDescent="0.25">
      <c r="E104" s="2"/>
      <c r="L104" s="2"/>
      <c r="M104" s="2"/>
      <c r="N104" s="2"/>
    </row>
    <row r="105" spans="2:14" ht="15.75" customHeight="1" x14ac:dyDescent="0.25">
      <c r="E105" s="2"/>
      <c r="L105" s="2"/>
      <c r="M105" s="2"/>
      <c r="N105" s="2"/>
    </row>
    <row r="106" spans="2:14" ht="15.75" customHeight="1" x14ac:dyDescent="0.25">
      <c r="E106" s="2"/>
      <c r="L106" s="2"/>
      <c r="M106" s="2"/>
      <c r="N106" s="2"/>
    </row>
    <row r="107" spans="2:14" ht="15.75" customHeight="1" x14ac:dyDescent="0.25">
      <c r="E107" s="2"/>
      <c r="L107" s="2"/>
      <c r="M107" s="2"/>
      <c r="N107" s="2"/>
    </row>
    <row r="108" spans="2:14" ht="15.75" customHeight="1" x14ac:dyDescent="0.25">
      <c r="E108" s="2"/>
      <c r="L108" s="2"/>
      <c r="M108" s="2"/>
      <c r="N108" s="2"/>
    </row>
    <row r="109" spans="2:14" ht="15.75" customHeight="1" x14ac:dyDescent="0.25">
      <c r="E109" s="2"/>
      <c r="L109" s="2"/>
      <c r="M109" s="2"/>
      <c r="N109" s="2"/>
    </row>
    <row r="110" spans="2:14" ht="15.75" customHeight="1" x14ac:dyDescent="0.25">
      <c r="E110" s="2"/>
      <c r="L110" s="2"/>
      <c r="M110" s="2"/>
      <c r="N110" s="2"/>
    </row>
    <row r="111" spans="2:14" ht="15.75" customHeight="1" x14ac:dyDescent="0.25">
      <c r="E111" s="2"/>
      <c r="L111" s="2"/>
      <c r="M111" s="2"/>
      <c r="N111" s="2"/>
    </row>
    <row r="112" spans="2:14" ht="15.75" customHeight="1" x14ac:dyDescent="0.25">
      <c r="E112" s="2"/>
      <c r="L112" s="2"/>
      <c r="M112" s="2"/>
      <c r="N112" s="2"/>
    </row>
    <row r="113" spans="5:14" ht="15.75" customHeight="1" x14ac:dyDescent="0.25">
      <c r="E113" s="2"/>
      <c r="L113" s="2"/>
      <c r="M113" s="2"/>
      <c r="N113" s="2"/>
    </row>
    <row r="114" spans="5:14" ht="15.75" customHeight="1" x14ac:dyDescent="0.25">
      <c r="E114" s="2"/>
      <c r="L114" s="2"/>
      <c r="M114" s="2"/>
      <c r="N114" s="2"/>
    </row>
    <row r="115" spans="5:14" ht="15.75" customHeight="1" x14ac:dyDescent="0.25">
      <c r="E115" s="2"/>
      <c r="L115" s="2"/>
      <c r="M115" s="2"/>
      <c r="N115" s="2"/>
    </row>
    <row r="116" spans="5:14" ht="15.75" customHeight="1" x14ac:dyDescent="0.25">
      <c r="E116" s="2"/>
      <c r="L116" s="2"/>
      <c r="M116" s="2"/>
      <c r="N116" s="2"/>
    </row>
    <row r="117" spans="5:14" ht="15.75" customHeight="1" x14ac:dyDescent="0.25">
      <c r="E117" s="2"/>
      <c r="L117" s="2"/>
      <c r="M117" s="2"/>
      <c r="N117" s="2"/>
    </row>
    <row r="118" spans="5:14" ht="15.75" customHeight="1" x14ac:dyDescent="0.25">
      <c r="E118" s="2"/>
      <c r="L118" s="2"/>
      <c r="M118" s="2"/>
      <c r="N118" s="2"/>
    </row>
    <row r="119" spans="5:14" ht="15.75" customHeight="1" x14ac:dyDescent="0.25">
      <c r="E119" s="2"/>
      <c r="L119" s="2"/>
      <c r="M119" s="2"/>
      <c r="N119" s="2"/>
    </row>
    <row r="120" spans="5:14" ht="15.75" customHeight="1" x14ac:dyDescent="0.25">
      <c r="E120" s="2"/>
      <c r="L120" s="2"/>
      <c r="M120" s="2"/>
      <c r="N120" s="2"/>
    </row>
    <row r="121" spans="5:14" ht="15.75" customHeight="1" x14ac:dyDescent="0.25">
      <c r="E121" s="2"/>
      <c r="L121" s="2"/>
      <c r="M121" s="2"/>
      <c r="N121" s="2"/>
    </row>
    <row r="122" spans="5:14" ht="15.75" customHeight="1" x14ac:dyDescent="0.25">
      <c r="E122" s="2"/>
      <c r="L122" s="2"/>
      <c r="M122" s="2"/>
      <c r="N122" s="2"/>
    </row>
    <row r="123" spans="5:14" ht="15.75" customHeight="1" x14ac:dyDescent="0.25">
      <c r="E123" s="2"/>
      <c r="L123" s="2"/>
      <c r="M123" s="2"/>
      <c r="N123" s="2"/>
    </row>
    <row r="124" spans="5:14" ht="15.75" customHeight="1" x14ac:dyDescent="0.25">
      <c r="E124" s="2"/>
      <c r="L124" s="2"/>
      <c r="M124" s="2"/>
      <c r="N124" s="2"/>
    </row>
    <row r="125" spans="5:14" ht="15.75" customHeight="1" x14ac:dyDescent="0.25">
      <c r="E125" s="2"/>
      <c r="L125" s="2"/>
      <c r="M125" s="2"/>
      <c r="N125" s="2"/>
    </row>
    <row r="126" spans="5:14" ht="15.75" customHeight="1" x14ac:dyDescent="0.25">
      <c r="E126" s="2"/>
      <c r="L126" s="2"/>
      <c r="M126" s="2"/>
      <c r="N126" s="2"/>
    </row>
    <row r="127" spans="5:14" ht="15.75" customHeight="1" x14ac:dyDescent="0.25">
      <c r="E127" s="2"/>
      <c r="L127" s="2"/>
      <c r="M127" s="2"/>
      <c r="N127" s="2"/>
    </row>
    <row r="128" spans="5:14" ht="15.75" customHeight="1" x14ac:dyDescent="0.25">
      <c r="E128" s="2"/>
      <c r="L128" s="2"/>
      <c r="M128" s="2"/>
      <c r="N128" s="2"/>
    </row>
    <row r="129" spans="5:14" ht="15.75" customHeight="1" x14ac:dyDescent="0.25">
      <c r="E129" s="2"/>
      <c r="L129" s="2"/>
      <c r="M129" s="2"/>
      <c r="N129" s="2"/>
    </row>
    <row r="130" spans="5:14" ht="15.75" customHeight="1" x14ac:dyDescent="0.25">
      <c r="E130" s="2"/>
      <c r="L130" s="2"/>
      <c r="M130" s="2"/>
      <c r="N130" s="2"/>
    </row>
    <row r="131" spans="5:14" ht="15.75" customHeight="1" x14ac:dyDescent="0.25">
      <c r="E131" s="2"/>
      <c r="L131" s="2"/>
      <c r="M131" s="2"/>
      <c r="N131" s="2"/>
    </row>
    <row r="132" spans="5:14" ht="15.75" customHeight="1" x14ac:dyDescent="0.25">
      <c r="E132" s="2"/>
      <c r="L132" s="2"/>
      <c r="M132" s="2"/>
      <c r="N132" s="2"/>
    </row>
    <row r="133" spans="5:14" ht="15.75" customHeight="1" x14ac:dyDescent="0.25">
      <c r="E133" s="2"/>
      <c r="L133" s="2"/>
      <c r="M133" s="2"/>
      <c r="N133" s="2"/>
    </row>
    <row r="134" spans="5:14" ht="15.75" customHeight="1" x14ac:dyDescent="0.25">
      <c r="E134" s="2"/>
      <c r="L134" s="2"/>
      <c r="M134" s="2"/>
      <c r="N134" s="2"/>
    </row>
    <row r="135" spans="5:14" ht="15.75" customHeight="1" x14ac:dyDescent="0.25">
      <c r="E135" s="2"/>
      <c r="L135" s="2"/>
      <c r="M135" s="2"/>
      <c r="N135" s="2"/>
    </row>
    <row r="136" spans="5:14" ht="15.75" customHeight="1" x14ac:dyDescent="0.25">
      <c r="E136" s="2"/>
      <c r="L136" s="2"/>
      <c r="M136" s="2"/>
      <c r="N136" s="2"/>
    </row>
    <row r="137" spans="5:14" ht="15.75" customHeight="1" x14ac:dyDescent="0.25">
      <c r="E137" s="2"/>
      <c r="L137" s="2"/>
      <c r="M137" s="2"/>
      <c r="N137" s="2"/>
    </row>
    <row r="138" spans="5:14" ht="15.75" customHeight="1" x14ac:dyDescent="0.25">
      <c r="E138" s="2"/>
      <c r="L138" s="2"/>
      <c r="M138" s="2"/>
      <c r="N138" s="2"/>
    </row>
    <row r="139" spans="5:14" ht="15.75" customHeight="1" x14ac:dyDescent="0.25">
      <c r="E139" s="2"/>
      <c r="L139" s="2"/>
      <c r="M139" s="2"/>
      <c r="N139" s="2"/>
    </row>
    <row r="140" spans="5:14" ht="15.75" customHeight="1" x14ac:dyDescent="0.25">
      <c r="E140" s="2"/>
      <c r="L140" s="2"/>
      <c r="M140" s="2"/>
      <c r="N140" s="2"/>
    </row>
    <row r="141" spans="5:14" ht="15.75" customHeight="1" x14ac:dyDescent="0.25">
      <c r="E141" s="2"/>
      <c r="L141" s="2"/>
      <c r="M141" s="2"/>
      <c r="N141" s="2"/>
    </row>
    <row r="142" spans="5:14" ht="15.75" customHeight="1" x14ac:dyDescent="0.25">
      <c r="E142" s="2"/>
      <c r="L142" s="2"/>
      <c r="M142" s="2"/>
      <c r="N142" s="2"/>
    </row>
    <row r="143" spans="5:14" ht="15.75" customHeight="1" x14ac:dyDescent="0.25">
      <c r="E143" s="2"/>
      <c r="L143" s="2"/>
      <c r="M143" s="2"/>
      <c r="N143" s="2"/>
    </row>
    <row r="144" spans="5:14" ht="15.75" customHeight="1" x14ac:dyDescent="0.25">
      <c r="E144" s="2"/>
      <c r="L144" s="2"/>
      <c r="M144" s="2"/>
      <c r="N144" s="2"/>
    </row>
    <row r="145" spans="5:14" ht="15.75" customHeight="1" x14ac:dyDescent="0.25">
      <c r="E145" s="2"/>
      <c r="L145" s="2"/>
      <c r="M145" s="2"/>
      <c r="N145" s="2"/>
    </row>
    <row r="146" spans="5:14" ht="15.75" customHeight="1" x14ac:dyDescent="0.25">
      <c r="E146" s="2"/>
      <c r="L146" s="2"/>
      <c r="M146" s="2"/>
      <c r="N146" s="2"/>
    </row>
    <row r="147" spans="5:14" ht="15.75" customHeight="1" x14ac:dyDescent="0.25">
      <c r="E147" s="2"/>
      <c r="L147" s="2"/>
      <c r="M147" s="2"/>
      <c r="N147" s="2"/>
    </row>
    <row r="148" spans="5:14" ht="15.75" customHeight="1" x14ac:dyDescent="0.25">
      <c r="E148" s="2"/>
      <c r="L148" s="2"/>
      <c r="M148" s="2"/>
      <c r="N148" s="2"/>
    </row>
    <row r="149" spans="5:14" ht="15.75" customHeight="1" x14ac:dyDescent="0.25">
      <c r="E149" s="2"/>
      <c r="L149" s="2"/>
      <c r="M149" s="2"/>
      <c r="N149" s="2"/>
    </row>
    <row r="150" spans="5:14" ht="15.75" customHeight="1" x14ac:dyDescent="0.25">
      <c r="E150" s="2"/>
      <c r="L150" s="2"/>
      <c r="M150" s="2"/>
      <c r="N150" s="2"/>
    </row>
    <row r="151" spans="5:14" ht="15.75" customHeight="1" x14ac:dyDescent="0.25">
      <c r="E151" s="2"/>
      <c r="L151" s="2"/>
      <c r="M151" s="2"/>
      <c r="N151" s="2"/>
    </row>
    <row r="152" spans="5:14" ht="15.75" customHeight="1" x14ac:dyDescent="0.25">
      <c r="E152" s="2"/>
      <c r="L152" s="2"/>
      <c r="M152" s="2"/>
      <c r="N152" s="2"/>
    </row>
    <row r="153" spans="5:14" ht="15.75" customHeight="1" x14ac:dyDescent="0.25">
      <c r="E153" s="2"/>
      <c r="L153" s="2"/>
      <c r="M153" s="2"/>
      <c r="N153" s="2"/>
    </row>
    <row r="154" spans="5:14" ht="15.75" customHeight="1" x14ac:dyDescent="0.25">
      <c r="E154" s="2"/>
      <c r="L154" s="2"/>
      <c r="M154" s="2"/>
      <c r="N154" s="2"/>
    </row>
    <row r="155" spans="5:14" ht="15.75" customHeight="1" x14ac:dyDescent="0.25">
      <c r="E155" s="2"/>
      <c r="L155" s="2"/>
      <c r="M155" s="2"/>
      <c r="N155" s="2"/>
    </row>
    <row r="156" spans="5:14" ht="15.75" customHeight="1" x14ac:dyDescent="0.25">
      <c r="E156" s="2"/>
      <c r="L156" s="2"/>
      <c r="M156" s="2"/>
      <c r="N156" s="2"/>
    </row>
    <row r="157" spans="5:14" ht="15.75" customHeight="1" x14ac:dyDescent="0.25">
      <c r="E157" s="2"/>
      <c r="L157" s="2"/>
      <c r="M157" s="2"/>
      <c r="N157" s="2"/>
    </row>
    <row r="158" spans="5:14" ht="15.75" customHeight="1" x14ac:dyDescent="0.25">
      <c r="E158" s="2"/>
      <c r="L158" s="2"/>
      <c r="M158" s="2"/>
      <c r="N158" s="2"/>
    </row>
    <row r="159" spans="5:14" ht="15.75" customHeight="1" x14ac:dyDescent="0.25">
      <c r="E159" s="2"/>
      <c r="L159" s="2"/>
      <c r="M159" s="2"/>
      <c r="N159" s="2"/>
    </row>
    <row r="160" spans="5:14" ht="15.75" customHeight="1" x14ac:dyDescent="0.25">
      <c r="E160" s="2"/>
      <c r="L160" s="2"/>
      <c r="M160" s="2"/>
      <c r="N160" s="2"/>
    </row>
    <row r="161" spans="5:14" ht="15.75" customHeight="1" x14ac:dyDescent="0.25">
      <c r="E161" s="2"/>
      <c r="L161" s="2"/>
      <c r="M161" s="2"/>
      <c r="N161" s="2"/>
    </row>
    <row r="162" spans="5:14" ht="15.75" customHeight="1" x14ac:dyDescent="0.25">
      <c r="E162" s="2"/>
      <c r="L162" s="2"/>
      <c r="M162" s="2"/>
      <c r="N162" s="2"/>
    </row>
    <row r="163" spans="5:14" ht="15.75" customHeight="1" x14ac:dyDescent="0.25">
      <c r="E163" s="2"/>
      <c r="L163" s="2"/>
      <c r="M163" s="2"/>
      <c r="N163" s="2"/>
    </row>
    <row r="164" spans="5:14" ht="15.75" customHeight="1" x14ac:dyDescent="0.25">
      <c r="E164" s="2"/>
      <c r="L164" s="2"/>
      <c r="M164" s="2"/>
      <c r="N164" s="2"/>
    </row>
    <row r="165" spans="5:14" ht="15.75" customHeight="1" x14ac:dyDescent="0.25">
      <c r="E165" s="2"/>
      <c r="L165" s="2"/>
      <c r="M165" s="2"/>
      <c r="N165" s="2"/>
    </row>
    <row r="166" spans="5:14" ht="15.75" customHeight="1" x14ac:dyDescent="0.25">
      <c r="E166" s="2"/>
      <c r="L166" s="2"/>
      <c r="M166" s="2"/>
      <c r="N166" s="2"/>
    </row>
    <row r="167" spans="5:14" ht="15.75" customHeight="1" x14ac:dyDescent="0.25">
      <c r="E167" s="2"/>
      <c r="L167" s="2"/>
      <c r="M167" s="2"/>
      <c r="N167" s="2"/>
    </row>
    <row r="168" spans="5:14" ht="15.75" customHeight="1" x14ac:dyDescent="0.25">
      <c r="E168" s="2"/>
      <c r="L168" s="2"/>
      <c r="M168" s="2"/>
      <c r="N168" s="2"/>
    </row>
    <row r="169" spans="5:14" ht="15.75" customHeight="1" x14ac:dyDescent="0.25">
      <c r="E169" s="2"/>
      <c r="L169" s="2"/>
      <c r="M169" s="2"/>
      <c r="N169" s="2"/>
    </row>
    <row r="170" spans="5:14" ht="15.75" customHeight="1" x14ac:dyDescent="0.25">
      <c r="E170" s="2"/>
      <c r="L170" s="2"/>
      <c r="M170" s="2"/>
      <c r="N170" s="2"/>
    </row>
    <row r="171" spans="5:14" ht="15.75" customHeight="1" x14ac:dyDescent="0.25">
      <c r="E171" s="2"/>
      <c r="L171" s="2"/>
      <c r="M171" s="2"/>
      <c r="N171" s="2"/>
    </row>
    <row r="172" spans="5:14" ht="15.75" customHeight="1" x14ac:dyDescent="0.25">
      <c r="E172" s="2"/>
      <c r="L172" s="2"/>
      <c r="M172" s="2"/>
      <c r="N172" s="2"/>
    </row>
    <row r="173" spans="5:14" ht="15.75" customHeight="1" x14ac:dyDescent="0.25">
      <c r="E173" s="2"/>
      <c r="L173" s="2"/>
      <c r="M173" s="2"/>
      <c r="N173" s="2"/>
    </row>
    <row r="174" spans="5:14" ht="15.75" customHeight="1" x14ac:dyDescent="0.25">
      <c r="E174" s="2"/>
      <c r="L174" s="2"/>
      <c r="M174" s="2"/>
      <c r="N174" s="2"/>
    </row>
    <row r="175" spans="5:14" ht="15.75" customHeight="1" x14ac:dyDescent="0.25">
      <c r="E175" s="2"/>
      <c r="L175" s="2"/>
      <c r="M175" s="2"/>
      <c r="N175" s="2"/>
    </row>
    <row r="176" spans="5:14" ht="15.75" customHeight="1" x14ac:dyDescent="0.25">
      <c r="E176" s="2"/>
      <c r="L176" s="2"/>
      <c r="M176" s="2"/>
      <c r="N176" s="2"/>
    </row>
    <row r="177" spans="5:14" ht="15.75" customHeight="1" x14ac:dyDescent="0.25">
      <c r="E177" s="2"/>
      <c r="L177" s="2"/>
      <c r="M177" s="2"/>
      <c r="N177" s="2"/>
    </row>
    <row r="178" spans="5:14" ht="15.75" customHeight="1" x14ac:dyDescent="0.25">
      <c r="E178" s="2"/>
      <c r="L178" s="2"/>
      <c r="M178" s="2"/>
      <c r="N178" s="2"/>
    </row>
    <row r="179" spans="5:14" ht="15.75" customHeight="1" x14ac:dyDescent="0.25">
      <c r="E179" s="2"/>
      <c r="L179" s="2"/>
      <c r="M179" s="2"/>
      <c r="N179" s="2"/>
    </row>
    <row r="180" spans="5:14" ht="15.75" customHeight="1" x14ac:dyDescent="0.25">
      <c r="E180" s="2"/>
      <c r="L180" s="2"/>
      <c r="M180" s="2"/>
      <c r="N180" s="2"/>
    </row>
    <row r="181" spans="5:14" ht="15.75" customHeight="1" x14ac:dyDescent="0.25">
      <c r="E181" s="2"/>
      <c r="L181" s="2"/>
      <c r="M181" s="2"/>
      <c r="N181" s="2"/>
    </row>
    <row r="182" spans="5:14" ht="15.75" customHeight="1" x14ac:dyDescent="0.25">
      <c r="E182" s="2"/>
      <c r="L182" s="2"/>
      <c r="M182" s="2"/>
      <c r="N182" s="2"/>
    </row>
    <row r="183" spans="5:14" ht="15.75" customHeight="1" x14ac:dyDescent="0.25">
      <c r="E183" s="2"/>
      <c r="L183" s="2"/>
      <c r="M183" s="2"/>
      <c r="N183" s="2"/>
    </row>
    <row r="184" spans="5:14" ht="15.75" customHeight="1" x14ac:dyDescent="0.25">
      <c r="E184" s="2"/>
      <c r="L184" s="2"/>
      <c r="M184" s="2"/>
      <c r="N184" s="2"/>
    </row>
    <row r="185" spans="5:14" ht="15.75" customHeight="1" x14ac:dyDescent="0.25">
      <c r="E185" s="2"/>
      <c r="L185" s="2"/>
      <c r="M185" s="2"/>
      <c r="N185" s="2"/>
    </row>
    <row r="186" spans="5:14" ht="15.75" customHeight="1" x14ac:dyDescent="0.25">
      <c r="E186" s="2"/>
      <c r="L186" s="2"/>
      <c r="M186" s="2"/>
      <c r="N186" s="2"/>
    </row>
    <row r="187" spans="5:14" ht="15.75" customHeight="1" x14ac:dyDescent="0.25">
      <c r="E187" s="2"/>
      <c r="L187" s="2"/>
      <c r="M187" s="2"/>
      <c r="N187" s="2"/>
    </row>
    <row r="188" spans="5:14" ht="15.75" customHeight="1" x14ac:dyDescent="0.25">
      <c r="E188" s="2"/>
      <c r="L188" s="2"/>
      <c r="M188" s="2"/>
      <c r="N188" s="2"/>
    </row>
    <row r="189" spans="5:14" ht="15.75" customHeight="1" x14ac:dyDescent="0.25">
      <c r="E189" s="2"/>
      <c r="L189" s="2"/>
      <c r="M189" s="2"/>
      <c r="N189" s="2"/>
    </row>
    <row r="190" spans="5:14" ht="15.75" customHeight="1" x14ac:dyDescent="0.25">
      <c r="E190" s="2"/>
      <c r="L190" s="2"/>
      <c r="M190" s="2"/>
      <c r="N190" s="2"/>
    </row>
    <row r="191" spans="5:14" ht="15.75" customHeight="1" x14ac:dyDescent="0.25">
      <c r="E191" s="2"/>
      <c r="L191" s="2"/>
      <c r="M191" s="2"/>
      <c r="N191" s="2"/>
    </row>
    <row r="192" spans="5:14" ht="15.75" customHeight="1" x14ac:dyDescent="0.25">
      <c r="E192" s="2"/>
      <c r="L192" s="2"/>
      <c r="M192" s="2"/>
      <c r="N192" s="2"/>
    </row>
    <row r="193" spans="5:14" ht="15.75" customHeight="1" x14ac:dyDescent="0.25">
      <c r="E193" s="2"/>
      <c r="L193" s="2"/>
      <c r="M193" s="2"/>
      <c r="N193" s="2"/>
    </row>
    <row r="194" spans="5:14" ht="15.75" customHeight="1" x14ac:dyDescent="0.25">
      <c r="E194" s="2"/>
      <c r="L194" s="2"/>
      <c r="M194" s="2"/>
      <c r="N194" s="2"/>
    </row>
    <row r="195" spans="5:14" ht="15.75" customHeight="1" x14ac:dyDescent="0.25">
      <c r="E195" s="2"/>
      <c r="L195" s="2"/>
      <c r="M195" s="2"/>
      <c r="N195" s="2"/>
    </row>
    <row r="196" spans="5:14" ht="15.75" customHeight="1" x14ac:dyDescent="0.25">
      <c r="E196" s="2"/>
      <c r="L196" s="2"/>
      <c r="M196" s="2"/>
      <c r="N196" s="2"/>
    </row>
    <row r="197" spans="5:14" ht="15.75" customHeight="1" x14ac:dyDescent="0.25">
      <c r="E197" s="2"/>
      <c r="L197" s="2"/>
      <c r="M197" s="2"/>
      <c r="N197" s="2"/>
    </row>
    <row r="198" spans="5:14" ht="15.75" customHeight="1" x14ac:dyDescent="0.25">
      <c r="E198" s="2"/>
      <c r="L198" s="2"/>
      <c r="M198" s="2"/>
      <c r="N198" s="2"/>
    </row>
    <row r="199" spans="5:14" ht="15.75" customHeight="1" x14ac:dyDescent="0.25">
      <c r="E199" s="2"/>
      <c r="L199" s="2"/>
      <c r="M199" s="2"/>
      <c r="N199" s="2"/>
    </row>
    <row r="200" spans="5:14" ht="15.75" customHeight="1" x14ac:dyDescent="0.25">
      <c r="E200" s="2"/>
      <c r="L200" s="2"/>
      <c r="M200" s="2"/>
      <c r="N200" s="2"/>
    </row>
    <row r="201" spans="5:14" ht="15.75" customHeight="1" x14ac:dyDescent="0.25">
      <c r="E201" s="2"/>
      <c r="L201" s="2"/>
      <c r="M201" s="2"/>
      <c r="N201" s="2"/>
    </row>
    <row r="202" spans="5:14" ht="15.75" customHeight="1" x14ac:dyDescent="0.25">
      <c r="E202" s="2"/>
      <c r="L202" s="2"/>
      <c r="M202" s="2"/>
      <c r="N202" s="2"/>
    </row>
    <row r="203" spans="5:14" ht="15.75" customHeight="1" x14ac:dyDescent="0.25">
      <c r="E203" s="2"/>
      <c r="L203" s="2"/>
      <c r="M203" s="2"/>
      <c r="N203" s="2"/>
    </row>
    <row r="204" spans="5:14" ht="15.75" customHeight="1" x14ac:dyDescent="0.25">
      <c r="E204" s="2"/>
      <c r="L204" s="2"/>
      <c r="M204" s="2"/>
      <c r="N204" s="2"/>
    </row>
    <row r="205" spans="5:14" ht="15.75" customHeight="1" x14ac:dyDescent="0.25">
      <c r="E205" s="2"/>
      <c r="L205" s="2"/>
      <c r="M205" s="2"/>
      <c r="N205" s="2"/>
    </row>
    <row r="206" spans="5:14" ht="15.75" customHeight="1" x14ac:dyDescent="0.25">
      <c r="E206" s="2"/>
      <c r="L206" s="2"/>
      <c r="M206" s="2"/>
      <c r="N206" s="2"/>
    </row>
    <row r="207" spans="5:14" ht="15.75" customHeight="1" x14ac:dyDescent="0.25">
      <c r="E207" s="2"/>
      <c r="L207" s="2"/>
      <c r="M207" s="2"/>
      <c r="N207" s="2"/>
    </row>
    <row r="208" spans="5:14" ht="15.75" customHeight="1" x14ac:dyDescent="0.25">
      <c r="E208" s="2"/>
      <c r="L208" s="2"/>
      <c r="M208" s="2"/>
      <c r="N208" s="2"/>
    </row>
    <row r="209" spans="5:14" ht="15.75" customHeight="1" x14ac:dyDescent="0.25">
      <c r="E209" s="2"/>
      <c r="L209" s="2"/>
      <c r="M209" s="2"/>
      <c r="N209" s="2"/>
    </row>
    <row r="210" spans="5:14" ht="15.75" customHeight="1" x14ac:dyDescent="0.25">
      <c r="E210" s="2"/>
      <c r="L210" s="2"/>
      <c r="M210" s="2"/>
      <c r="N210" s="2"/>
    </row>
    <row r="211" spans="5:14" ht="15.75" customHeight="1" x14ac:dyDescent="0.25">
      <c r="E211" s="2"/>
      <c r="L211" s="2"/>
      <c r="M211" s="2"/>
      <c r="N211" s="2"/>
    </row>
    <row r="212" spans="5:14" ht="15.75" customHeight="1" x14ac:dyDescent="0.25">
      <c r="E212" s="2"/>
      <c r="L212" s="2"/>
      <c r="M212" s="2"/>
      <c r="N212" s="2"/>
    </row>
    <row r="213" spans="5:14" ht="15.75" customHeight="1" x14ac:dyDescent="0.25">
      <c r="E213" s="2"/>
      <c r="L213" s="2"/>
      <c r="M213" s="2"/>
      <c r="N213" s="2"/>
    </row>
    <row r="214" spans="5:14" ht="15.75" customHeight="1" x14ac:dyDescent="0.25">
      <c r="E214" s="2"/>
      <c r="L214" s="2"/>
      <c r="M214" s="2"/>
      <c r="N214" s="2"/>
    </row>
    <row r="215" spans="5:14" ht="15.75" customHeight="1" x14ac:dyDescent="0.25">
      <c r="E215" s="2"/>
      <c r="L215" s="2"/>
      <c r="M215" s="2"/>
      <c r="N215" s="2"/>
    </row>
    <row r="216" spans="5:14" ht="15.75" customHeight="1" x14ac:dyDescent="0.25">
      <c r="E216" s="2"/>
      <c r="L216" s="2"/>
      <c r="M216" s="2"/>
      <c r="N216" s="2"/>
    </row>
    <row r="217" spans="5:14" ht="15.75" customHeight="1" x14ac:dyDescent="0.25">
      <c r="E217" s="2"/>
      <c r="L217" s="2"/>
      <c r="M217" s="2"/>
      <c r="N217" s="2"/>
    </row>
    <row r="218" spans="5:14" ht="15.75" customHeight="1" x14ac:dyDescent="0.25">
      <c r="E218" s="2"/>
      <c r="L218" s="2"/>
      <c r="M218" s="2"/>
      <c r="N218" s="2"/>
    </row>
    <row r="219" spans="5:14" ht="15.75" customHeight="1" x14ac:dyDescent="0.25">
      <c r="E219" s="2"/>
      <c r="L219" s="2"/>
      <c r="M219" s="2"/>
      <c r="N219" s="2"/>
    </row>
    <row r="220" spans="5:14" ht="15.75" customHeight="1" x14ac:dyDescent="0.25">
      <c r="E220" s="2"/>
      <c r="L220" s="2"/>
      <c r="M220" s="2"/>
      <c r="N220" s="2"/>
    </row>
    <row r="221" spans="5:14" ht="15.75" customHeight="1" x14ac:dyDescent="0.25">
      <c r="E221" s="2"/>
      <c r="L221" s="2"/>
      <c r="M221" s="2"/>
      <c r="N221" s="2"/>
    </row>
    <row r="222" spans="5:14" ht="15.75" customHeight="1" x14ac:dyDescent="0.25">
      <c r="E222" s="2"/>
      <c r="L222" s="2"/>
      <c r="M222" s="2"/>
      <c r="N222" s="2"/>
    </row>
    <row r="223" spans="5:14" ht="15.75" customHeight="1" x14ac:dyDescent="0.25">
      <c r="E223" s="2"/>
      <c r="L223" s="2"/>
      <c r="M223" s="2"/>
      <c r="N223" s="2"/>
    </row>
    <row r="224" spans="5:14" ht="15.75" customHeight="1" x14ac:dyDescent="0.25">
      <c r="E224" s="2"/>
      <c r="L224" s="2"/>
      <c r="M224" s="2"/>
      <c r="N224" s="2"/>
    </row>
    <row r="225" spans="5:14" ht="15.75" customHeight="1" x14ac:dyDescent="0.25">
      <c r="E225" s="2"/>
      <c r="L225" s="2"/>
      <c r="M225" s="2"/>
      <c r="N225" s="2"/>
    </row>
    <row r="226" spans="5:14" ht="15.75" customHeight="1" x14ac:dyDescent="0.25">
      <c r="E226" s="2"/>
      <c r="L226" s="2"/>
      <c r="M226" s="2"/>
      <c r="N226" s="2"/>
    </row>
    <row r="227" spans="5:14" ht="15.75" customHeight="1" x14ac:dyDescent="0.25">
      <c r="E227" s="2"/>
      <c r="L227" s="2"/>
      <c r="M227" s="2"/>
      <c r="N227" s="2"/>
    </row>
    <row r="228" spans="5:14" ht="15.75" customHeight="1" x14ac:dyDescent="0.25">
      <c r="E228" s="2"/>
      <c r="L228" s="2"/>
      <c r="M228" s="2"/>
      <c r="N228" s="2"/>
    </row>
    <row r="229" spans="5:14" ht="15.75" customHeight="1" x14ac:dyDescent="0.25">
      <c r="E229" s="2"/>
      <c r="L229" s="2"/>
      <c r="M229" s="2"/>
      <c r="N229" s="2"/>
    </row>
    <row r="230" spans="5:14" ht="15.75" customHeight="1" x14ac:dyDescent="0.25">
      <c r="E230" s="2"/>
      <c r="L230" s="2"/>
      <c r="M230" s="2"/>
      <c r="N230" s="2"/>
    </row>
    <row r="231" spans="5:14" ht="15.75" customHeight="1" x14ac:dyDescent="0.25">
      <c r="E231" s="2"/>
      <c r="L231" s="2"/>
      <c r="M231" s="2"/>
      <c r="N231" s="2"/>
    </row>
    <row r="232" spans="5:14" ht="15.75" customHeight="1" x14ac:dyDescent="0.25">
      <c r="E232" s="2"/>
      <c r="L232" s="2"/>
      <c r="M232" s="2"/>
      <c r="N232" s="2"/>
    </row>
    <row r="233" spans="5:14" ht="15.75" customHeight="1" x14ac:dyDescent="0.25">
      <c r="E233" s="2"/>
      <c r="L233" s="2"/>
      <c r="M233" s="2"/>
      <c r="N233" s="2"/>
    </row>
    <row r="234" spans="5:14" ht="15.75" customHeight="1" x14ac:dyDescent="0.25">
      <c r="E234" s="2"/>
      <c r="L234" s="2"/>
      <c r="M234" s="2"/>
      <c r="N234" s="2"/>
    </row>
    <row r="235" spans="5:14" ht="15.75" customHeight="1" x14ac:dyDescent="0.25">
      <c r="E235" s="2"/>
      <c r="L235" s="2"/>
      <c r="M235" s="2"/>
      <c r="N235" s="2"/>
    </row>
    <row r="236" spans="5:14" ht="15.75" customHeight="1" x14ac:dyDescent="0.25">
      <c r="E236" s="2"/>
      <c r="L236" s="2"/>
      <c r="M236" s="2"/>
      <c r="N236" s="2"/>
    </row>
    <row r="237" spans="5:14" ht="15.75" customHeight="1" x14ac:dyDescent="0.25">
      <c r="E237" s="2"/>
      <c r="L237" s="2"/>
      <c r="M237" s="2"/>
      <c r="N237" s="2"/>
    </row>
    <row r="238" spans="5:14" ht="15.75" customHeight="1" x14ac:dyDescent="0.25">
      <c r="E238" s="2"/>
      <c r="L238" s="2"/>
      <c r="M238" s="2"/>
      <c r="N238" s="2"/>
    </row>
    <row r="239" spans="5:14" ht="15.75" customHeight="1" x14ac:dyDescent="0.25">
      <c r="E239" s="2"/>
      <c r="L239" s="2"/>
      <c r="M239" s="2"/>
      <c r="N239" s="2"/>
    </row>
    <row r="240" spans="5:14" ht="15.75" customHeight="1" x14ac:dyDescent="0.25">
      <c r="E240" s="2"/>
      <c r="L240" s="2"/>
      <c r="M240" s="2"/>
      <c r="N240" s="2"/>
    </row>
    <row r="241" spans="5:14" ht="15.75" customHeight="1" x14ac:dyDescent="0.25">
      <c r="E241" s="2"/>
      <c r="L241" s="2"/>
      <c r="M241" s="2"/>
      <c r="N241" s="2"/>
    </row>
    <row r="242" spans="5:14" ht="15.75" customHeight="1" x14ac:dyDescent="0.25">
      <c r="E242" s="2"/>
      <c r="L242" s="2"/>
      <c r="M242" s="2"/>
      <c r="N242" s="2"/>
    </row>
    <row r="243" spans="5:14" ht="15.75" customHeight="1" x14ac:dyDescent="0.25">
      <c r="E243" s="2"/>
      <c r="L243" s="2"/>
      <c r="M243" s="2"/>
      <c r="N243" s="2"/>
    </row>
    <row r="244" spans="5:14" ht="15.75" customHeight="1" x14ac:dyDescent="0.25">
      <c r="E244" s="2"/>
      <c r="L244" s="2"/>
      <c r="M244" s="2"/>
      <c r="N244" s="2"/>
    </row>
    <row r="245" spans="5:14" ht="15.75" customHeight="1" x14ac:dyDescent="0.25">
      <c r="E245" s="2"/>
      <c r="L245" s="2"/>
      <c r="M245" s="2"/>
      <c r="N245" s="2"/>
    </row>
    <row r="246" spans="5:14" ht="15.75" customHeight="1" x14ac:dyDescent="0.25">
      <c r="E246" s="2"/>
      <c r="L246" s="2"/>
      <c r="M246" s="2"/>
      <c r="N246" s="2"/>
    </row>
    <row r="247" spans="5:14" ht="15.75" customHeight="1" x14ac:dyDescent="0.25">
      <c r="E247" s="2"/>
      <c r="L247" s="2"/>
      <c r="M247" s="2"/>
      <c r="N247" s="2"/>
    </row>
    <row r="248" spans="5:14" ht="15.75" customHeight="1" x14ac:dyDescent="0.25">
      <c r="E248" s="2"/>
      <c r="L248" s="2"/>
      <c r="M248" s="2"/>
      <c r="N248" s="2"/>
    </row>
    <row r="249" spans="5:14" ht="15.75" customHeight="1" x14ac:dyDescent="0.25">
      <c r="E249" s="2"/>
      <c r="L249" s="2"/>
      <c r="M249" s="2"/>
      <c r="N249" s="2"/>
    </row>
    <row r="250" spans="5:14" ht="15.75" customHeight="1" x14ac:dyDescent="0.25">
      <c r="E250" s="2"/>
      <c r="L250" s="2"/>
      <c r="M250" s="2"/>
      <c r="N250" s="2"/>
    </row>
    <row r="251" spans="5:14" ht="15.75" customHeight="1" x14ac:dyDescent="0.25">
      <c r="E251" s="2"/>
      <c r="L251" s="2"/>
      <c r="M251" s="2"/>
      <c r="N251" s="2"/>
    </row>
    <row r="252" spans="5:14" ht="15.75" customHeight="1" x14ac:dyDescent="0.25">
      <c r="E252" s="2"/>
      <c r="L252" s="2"/>
      <c r="M252" s="2"/>
      <c r="N252" s="2"/>
    </row>
    <row r="253" spans="5:14" ht="15.75" customHeight="1" x14ac:dyDescent="0.25">
      <c r="E253" s="2"/>
      <c r="L253" s="2"/>
      <c r="M253" s="2"/>
      <c r="N253" s="2"/>
    </row>
    <row r="254" spans="5:14" ht="15.75" customHeight="1" x14ac:dyDescent="0.25">
      <c r="E254" s="2"/>
      <c r="L254" s="2"/>
      <c r="M254" s="2"/>
      <c r="N254" s="2"/>
    </row>
    <row r="255" spans="5:14" ht="15.75" customHeight="1" x14ac:dyDescent="0.25">
      <c r="E255" s="2"/>
      <c r="L255" s="2"/>
      <c r="M255" s="2"/>
      <c r="N255" s="2"/>
    </row>
    <row r="256" spans="5:14" ht="15.75" customHeight="1" x14ac:dyDescent="0.25">
      <c r="E256" s="2"/>
      <c r="L256" s="2"/>
      <c r="M256" s="2"/>
      <c r="N256" s="2"/>
    </row>
    <row r="257" spans="5:14" ht="15.75" customHeight="1" x14ac:dyDescent="0.25">
      <c r="E257" s="2"/>
      <c r="L257" s="2"/>
      <c r="M257" s="2"/>
      <c r="N257" s="2"/>
    </row>
    <row r="258" spans="5:14" ht="15.75" customHeight="1" x14ac:dyDescent="0.25">
      <c r="E258" s="2"/>
      <c r="L258" s="2"/>
      <c r="M258" s="2"/>
      <c r="N258" s="2"/>
    </row>
    <row r="259" spans="5:14" ht="15.75" customHeight="1" x14ac:dyDescent="0.25">
      <c r="E259" s="2"/>
      <c r="L259" s="2"/>
      <c r="M259" s="2"/>
      <c r="N259" s="2"/>
    </row>
    <row r="260" spans="5:14" ht="15.75" customHeight="1" x14ac:dyDescent="0.25">
      <c r="E260" s="2"/>
      <c r="L260" s="2"/>
      <c r="M260" s="2"/>
      <c r="N260" s="2"/>
    </row>
    <row r="261" spans="5:14" ht="15.75" customHeight="1" x14ac:dyDescent="0.25">
      <c r="E261" s="2"/>
      <c r="L261" s="2"/>
      <c r="M261" s="2"/>
      <c r="N261" s="2"/>
    </row>
    <row r="262" spans="5:14" ht="15.75" customHeight="1" x14ac:dyDescent="0.25">
      <c r="E262" s="2"/>
      <c r="L262" s="2"/>
      <c r="M262" s="2"/>
      <c r="N262" s="2"/>
    </row>
    <row r="263" spans="5:14" ht="15.75" customHeight="1" x14ac:dyDescent="0.25">
      <c r="E263" s="2"/>
      <c r="L263" s="2"/>
      <c r="M263" s="2"/>
      <c r="N263" s="2"/>
    </row>
    <row r="264" spans="5:14" ht="15.75" customHeight="1" x14ac:dyDescent="0.25">
      <c r="E264" s="2"/>
      <c r="L264" s="2"/>
      <c r="M264" s="2"/>
      <c r="N264" s="2"/>
    </row>
    <row r="265" spans="5:14" ht="15.75" customHeight="1" x14ac:dyDescent="0.25">
      <c r="E265" s="2"/>
      <c r="L265" s="2"/>
      <c r="M265" s="2"/>
      <c r="N265" s="2"/>
    </row>
    <row r="266" spans="5:14" ht="15.75" customHeight="1" x14ac:dyDescent="0.25">
      <c r="E266" s="2"/>
      <c r="L266" s="2"/>
      <c r="M266" s="2"/>
      <c r="N266" s="2"/>
    </row>
    <row r="267" spans="5:14" ht="15.75" customHeight="1" x14ac:dyDescent="0.25">
      <c r="E267" s="2"/>
      <c r="L267" s="2"/>
      <c r="M267" s="2"/>
      <c r="N267" s="2"/>
    </row>
    <row r="268" spans="5:14" ht="15.75" customHeight="1" x14ac:dyDescent="0.25">
      <c r="E268" s="2"/>
      <c r="L268" s="2"/>
      <c r="M268" s="2"/>
      <c r="N268" s="2"/>
    </row>
    <row r="269" spans="5:14" ht="15.75" customHeight="1" x14ac:dyDescent="0.25">
      <c r="E269" s="2"/>
      <c r="L269" s="2"/>
      <c r="M269" s="2"/>
      <c r="N269" s="2"/>
    </row>
    <row r="270" spans="5:14" ht="15.75" customHeight="1" x14ac:dyDescent="0.25">
      <c r="E270" s="2"/>
      <c r="L270" s="2"/>
      <c r="M270" s="2"/>
      <c r="N270" s="2"/>
    </row>
    <row r="271" spans="5:14" ht="15.75" customHeight="1" x14ac:dyDescent="0.25">
      <c r="E271" s="2"/>
      <c r="L271" s="2"/>
      <c r="M271" s="2"/>
      <c r="N271" s="2"/>
    </row>
    <row r="272" spans="5:1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zoomScale="85" zoomScaleNormal="85" workbookViewId="0">
      <selection activeCell="G16" sqref="G16"/>
    </sheetView>
  </sheetViews>
  <sheetFormatPr baseColWidth="10" defaultColWidth="14.42578125" defaultRowHeight="15" customHeight="1" x14ac:dyDescent="0.25"/>
  <cols>
    <col min="1" max="1" width="12.28515625" customWidth="1"/>
    <col min="2" max="2" width="12.140625" customWidth="1"/>
    <col min="3" max="3" width="7.28515625" customWidth="1"/>
    <col min="4" max="4" width="11.140625" customWidth="1"/>
    <col min="5" max="5" width="11.5703125" customWidth="1"/>
    <col min="6" max="6" width="11" customWidth="1"/>
    <col min="7" max="7" width="11.85546875" customWidth="1"/>
    <col min="8" max="8" width="10" customWidth="1"/>
    <col min="9" max="9" width="10.140625" customWidth="1"/>
    <col min="10" max="10" width="8.140625" customWidth="1"/>
    <col min="11" max="11" width="12.42578125" customWidth="1"/>
    <col min="12" max="12" width="7.85546875" customWidth="1"/>
    <col min="13" max="13" width="8.85546875" customWidth="1"/>
    <col min="14" max="14" width="7.85546875" customWidth="1"/>
    <col min="15" max="15" width="10.7109375" customWidth="1"/>
    <col min="16" max="16" width="8.42578125" customWidth="1"/>
    <col min="17" max="17" width="10.42578125" customWidth="1"/>
    <col min="18" max="18" width="10.7109375" customWidth="1"/>
    <col min="19" max="19" width="13.140625" style="2" customWidth="1"/>
    <col min="20" max="20" width="14.42578125" style="2"/>
    <col min="21" max="21" width="21" customWidth="1"/>
    <col min="22" max="22" width="20.140625" customWidth="1"/>
  </cols>
  <sheetData>
    <row r="1" spans="1:23" x14ac:dyDescent="0.25">
      <c r="B1" s="3"/>
      <c r="C1" s="3"/>
      <c r="D1" s="3"/>
    </row>
    <row r="2" spans="1:23" x14ac:dyDescent="0.25">
      <c r="B2" s="3"/>
      <c r="C2" s="3"/>
      <c r="D2" s="3"/>
      <c r="I2" s="5" t="s">
        <v>1</v>
      </c>
      <c r="J2" s="4"/>
      <c r="K2" s="5" t="s">
        <v>2</v>
      </c>
      <c r="L2" s="6"/>
      <c r="M2" s="5" t="s">
        <v>3</v>
      </c>
      <c r="N2" s="6"/>
      <c r="O2" s="5" t="s">
        <v>4</v>
      </c>
      <c r="Q2" s="29" t="s">
        <v>50</v>
      </c>
    </row>
    <row r="3" spans="1:23" x14ac:dyDescent="0.25">
      <c r="A3" s="8" t="s">
        <v>5</v>
      </c>
      <c r="B3" s="8" t="s">
        <v>6</v>
      </c>
      <c r="C3" s="8" t="s">
        <v>7</v>
      </c>
      <c r="D3" s="8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11" t="s">
        <v>13</v>
      </c>
      <c r="K3" s="10" t="s">
        <v>12</v>
      </c>
      <c r="L3" s="11" t="s">
        <v>13</v>
      </c>
      <c r="M3" s="10" t="s">
        <v>12</v>
      </c>
      <c r="N3" s="11" t="s">
        <v>13</v>
      </c>
      <c r="O3" s="10" t="s">
        <v>12</v>
      </c>
      <c r="P3" s="11" t="s">
        <v>13</v>
      </c>
      <c r="Q3" s="11" t="s">
        <v>13</v>
      </c>
      <c r="T3" s="28" t="s">
        <v>37</v>
      </c>
      <c r="U3" s="33" t="s">
        <v>40</v>
      </c>
      <c r="V3" s="33" t="s">
        <v>38</v>
      </c>
      <c r="W3" s="33"/>
    </row>
    <row r="4" spans="1:23" x14ac:dyDescent="0.25">
      <c r="A4" s="12" t="s">
        <v>14</v>
      </c>
      <c r="B4" s="12">
        <v>5081</v>
      </c>
      <c r="C4" s="12">
        <v>851</v>
      </c>
      <c r="D4" s="12">
        <v>1396</v>
      </c>
      <c r="E4" s="13">
        <f>CUENTAS!B16</f>
        <v>882</v>
      </c>
      <c r="F4" s="14">
        <f>CUENTAS!B17</f>
        <v>630</v>
      </c>
      <c r="G4" s="13">
        <f t="shared" ref="G4:G16" si="0">SUM(B4:F4)</f>
        <v>8840</v>
      </c>
      <c r="I4" s="14">
        <f t="shared" ref="I4:I13" si="1">B4/4</f>
        <v>1270.25</v>
      </c>
      <c r="J4" s="14">
        <f t="shared" ref="J4:J13" si="2">B4/4</f>
        <v>1270.25</v>
      </c>
      <c r="K4" s="14">
        <f t="shared" ref="K4:K13" si="3">C4/3</f>
        <v>283.66666666666669</v>
      </c>
      <c r="L4" s="14">
        <f t="shared" ref="L4:M4" si="4">C4/3</f>
        <v>283.66666666666669</v>
      </c>
      <c r="M4" s="14">
        <f t="shared" si="4"/>
        <v>465.33333333333331</v>
      </c>
      <c r="N4" s="14">
        <f t="shared" ref="N4:N13" si="5">D4/3</f>
        <v>465.33333333333331</v>
      </c>
      <c r="O4" s="14">
        <f t="shared" ref="O4:O13" si="6">E4/4</f>
        <v>220.5</v>
      </c>
      <c r="P4" s="14">
        <f t="shared" ref="P4:P13" si="7">E4/4</f>
        <v>220.5</v>
      </c>
      <c r="Q4" s="14">
        <f t="shared" ref="Q4:Q5" si="8">F4/3</f>
        <v>210</v>
      </c>
      <c r="T4" s="28"/>
      <c r="U4" s="33">
        <v>400</v>
      </c>
      <c r="V4" s="33">
        <v>500</v>
      </c>
      <c r="W4" s="33"/>
    </row>
    <row r="5" spans="1:23" x14ac:dyDescent="0.25">
      <c r="A5" s="12" t="s">
        <v>17</v>
      </c>
      <c r="B5" s="12">
        <v>5399</v>
      </c>
      <c r="C5" s="12">
        <v>851</v>
      </c>
      <c r="D5" s="12">
        <v>1502</v>
      </c>
      <c r="E5" s="13">
        <f>CUENTAS!B16</f>
        <v>882</v>
      </c>
      <c r="F5" s="14">
        <f>CUENTAS!B17</f>
        <v>630</v>
      </c>
      <c r="G5" s="13">
        <f t="shared" si="0"/>
        <v>9264</v>
      </c>
      <c r="I5" s="14">
        <f t="shared" si="1"/>
        <v>1349.75</v>
      </c>
      <c r="J5" s="14">
        <f t="shared" si="2"/>
        <v>1349.75</v>
      </c>
      <c r="K5" s="14">
        <f t="shared" si="3"/>
        <v>283.66666666666669</v>
      </c>
      <c r="L5" s="14">
        <f t="shared" ref="L5:M5" si="9">C5/3</f>
        <v>283.66666666666669</v>
      </c>
      <c r="M5" s="14">
        <f t="shared" si="9"/>
        <v>500.66666666666669</v>
      </c>
      <c r="N5" s="14">
        <f t="shared" si="5"/>
        <v>500.66666666666669</v>
      </c>
      <c r="O5" s="14">
        <f t="shared" si="6"/>
        <v>220.5</v>
      </c>
      <c r="P5" s="14">
        <f t="shared" si="7"/>
        <v>220.5</v>
      </c>
      <c r="Q5" s="14">
        <f t="shared" si="8"/>
        <v>210</v>
      </c>
    </row>
    <row r="6" spans="1:23" x14ac:dyDescent="0.25">
      <c r="A6" s="12" t="s">
        <v>19</v>
      </c>
      <c r="B6" s="12">
        <v>5810</v>
      </c>
      <c r="C6" s="12">
        <v>1276</v>
      </c>
      <c r="D6" s="12">
        <v>1556</v>
      </c>
      <c r="E6" s="13">
        <f>CUENTAS!B16</f>
        <v>882</v>
      </c>
      <c r="F6" s="14">
        <f>CUENTAS!B17</f>
        <v>630</v>
      </c>
      <c r="G6" s="13">
        <f t="shared" si="0"/>
        <v>10154</v>
      </c>
      <c r="I6" s="14">
        <f t="shared" si="1"/>
        <v>1452.5</v>
      </c>
      <c r="J6" s="14">
        <f t="shared" si="2"/>
        <v>1452.5</v>
      </c>
      <c r="K6" s="14">
        <f t="shared" si="3"/>
        <v>425.33333333333331</v>
      </c>
      <c r="L6" s="14">
        <f t="shared" ref="L6:M6" si="10">C6/3</f>
        <v>425.33333333333331</v>
      </c>
      <c r="M6" s="14">
        <f t="shared" si="10"/>
        <v>518.66666666666663</v>
      </c>
      <c r="N6" s="14">
        <f t="shared" si="5"/>
        <v>518.66666666666663</v>
      </c>
      <c r="O6" s="14">
        <f t="shared" si="6"/>
        <v>220.5</v>
      </c>
      <c r="P6" s="14">
        <f t="shared" si="7"/>
        <v>220.5</v>
      </c>
      <c r="Q6" s="14">
        <f>F6/3</f>
        <v>210</v>
      </c>
    </row>
    <row r="7" spans="1:23" x14ac:dyDescent="0.25">
      <c r="A7" s="12" t="s">
        <v>20</v>
      </c>
      <c r="B7" s="12">
        <v>4635</v>
      </c>
      <c r="C7" s="12">
        <v>917</v>
      </c>
      <c r="D7" s="12">
        <v>1558</v>
      </c>
      <c r="E7" s="13">
        <f>CUENTAS!B16</f>
        <v>882</v>
      </c>
      <c r="F7" s="14">
        <f>CUENTAS!B17</f>
        <v>630</v>
      </c>
      <c r="G7" s="13">
        <f t="shared" si="0"/>
        <v>8622</v>
      </c>
      <c r="I7" s="14">
        <f t="shared" si="1"/>
        <v>1158.75</v>
      </c>
      <c r="J7" s="14">
        <f t="shared" si="2"/>
        <v>1158.75</v>
      </c>
      <c r="K7" s="14">
        <f t="shared" si="3"/>
        <v>305.66666666666669</v>
      </c>
      <c r="L7" s="14">
        <f t="shared" ref="L7:M7" si="11">C7/3</f>
        <v>305.66666666666669</v>
      </c>
      <c r="M7" s="14">
        <f t="shared" si="11"/>
        <v>519.33333333333337</v>
      </c>
      <c r="N7" s="14">
        <f t="shared" si="5"/>
        <v>519.33333333333337</v>
      </c>
      <c r="O7" s="14">
        <f>E7/4</f>
        <v>220.5</v>
      </c>
      <c r="P7" s="14">
        <f t="shared" si="7"/>
        <v>220.5</v>
      </c>
      <c r="Q7" s="14">
        <f>F7/4</f>
        <v>157.5</v>
      </c>
    </row>
    <row r="8" spans="1:23" x14ac:dyDescent="0.25">
      <c r="A8" s="12" t="s">
        <v>21</v>
      </c>
      <c r="B8" s="12">
        <v>5383</v>
      </c>
      <c r="C8" s="12">
        <v>1256</v>
      </c>
      <c r="D8" s="12">
        <v>1594</v>
      </c>
      <c r="E8" s="13">
        <f>CUENTAS!B16</f>
        <v>882</v>
      </c>
      <c r="F8" s="14">
        <f>CUENTAS!B17</f>
        <v>630</v>
      </c>
      <c r="G8" s="13">
        <f t="shared" si="0"/>
        <v>9745</v>
      </c>
      <c r="I8" s="14">
        <f t="shared" si="1"/>
        <v>1345.75</v>
      </c>
      <c r="J8" s="14">
        <f t="shared" si="2"/>
        <v>1345.75</v>
      </c>
      <c r="K8" s="14">
        <f t="shared" si="3"/>
        <v>418.66666666666669</v>
      </c>
      <c r="L8" s="14">
        <f t="shared" ref="L8:M8" si="12">C8/3</f>
        <v>418.66666666666669</v>
      </c>
      <c r="M8" s="14">
        <f t="shared" si="12"/>
        <v>531.33333333333337</v>
      </c>
      <c r="N8" s="14">
        <f t="shared" si="5"/>
        <v>531.33333333333337</v>
      </c>
      <c r="O8" s="14">
        <f t="shared" si="6"/>
        <v>220.5</v>
      </c>
      <c r="P8" s="14">
        <f t="shared" si="7"/>
        <v>220.5</v>
      </c>
      <c r="Q8" s="43">
        <f t="shared" ref="Q8:Q15" si="13">F8/4</f>
        <v>157.5</v>
      </c>
    </row>
    <row r="9" spans="1:23" x14ac:dyDescent="0.25">
      <c r="A9" s="12" t="s">
        <v>22</v>
      </c>
      <c r="B9" s="12">
        <v>5267</v>
      </c>
      <c r="C9" s="12">
        <v>917</v>
      </c>
      <c r="D9" s="12">
        <v>1552</v>
      </c>
      <c r="E9" s="13">
        <f>CUENTAS!B16</f>
        <v>882</v>
      </c>
      <c r="F9" s="14">
        <f>CUENTAS!B17</f>
        <v>630</v>
      </c>
      <c r="G9" s="13">
        <f t="shared" si="0"/>
        <v>9248</v>
      </c>
      <c r="I9" s="14">
        <f t="shared" si="1"/>
        <v>1316.75</v>
      </c>
      <c r="J9" s="14">
        <f t="shared" si="2"/>
        <v>1316.75</v>
      </c>
      <c r="K9" s="14">
        <f t="shared" si="3"/>
        <v>305.66666666666669</v>
      </c>
      <c r="L9" s="14">
        <f t="shared" ref="L9:M9" si="14">C9/3</f>
        <v>305.66666666666669</v>
      </c>
      <c r="M9" s="14">
        <f t="shared" si="14"/>
        <v>517.33333333333337</v>
      </c>
      <c r="N9" s="14">
        <f t="shared" si="5"/>
        <v>517.33333333333337</v>
      </c>
      <c r="O9" s="14">
        <f t="shared" si="6"/>
        <v>220.5</v>
      </c>
      <c r="P9" s="14">
        <f t="shared" si="7"/>
        <v>220.5</v>
      </c>
      <c r="Q9" s="43">
        <f t="shared" si="13"/>
        <v>157.5</v>
      </c>
      <c r="S9"/>
      <c r="T9" s="44" t="s">
        <v>41</v>
      </c>
      <c r="U9" s="35"/>
      <c r="V9" s="35" t="s">
        <v>36</v>
      </c>
    </row>
    <row r="10" spans="1:23" x14ac:dyDescent="0.25">
      <c r="A10" s="12" t="s">
        <v>23</v>
      </c>
      <c r="B10" s="12">
        <v>5525</v>
      </c>
      <c r="C10" s="12">
        <v>917</v>
      </c>
      <c r="D10" s="12">
        <v>1550</v>
      </c>
      <c r="E10" s="13">
        <f>CUENTAS!B16</f>
        <v>882</v>
      </c>
      <c r="F10" s="14">
        <f>CUENTAS!B17</f>
        <v>630</v>
      </c>
      <c r="G10" s="13">
        <f t="shared" si="0"/>
        <v>9504</v>
      </c>
      <c r="I10" s="14">
        <f t="shared" si="1"/>
        <v>1381.25</v>
      </c>
      <c r="J10" s="14">
        <f t="shared" si="2"/>
        <v>1381.25</v>
      </c>
      <c r="K10" s="14">
        <f t="shared" si="3"/>
        <v>305.66666666666669</v>
      </c>
      <c r="L10" s="14">
        <f t="shared" ref="L10:M10" si="15">C10/3</f>
        <v>305.66666666666669</v>
      </c>
      <c r="M10" s="14">
        <f t="shared" si="15"/>
        <v>516.66666666666663</v>
      </c>
      <c r="N10" s="14">
        <f t="shared" si="5"/>
        <v>516.66666666666663</v>
      </c>
      <c r="O10" s="14">
        <f t="shared" si="6"/>
        <v>220.5</v>
      </c>
      <c r="P10" s="14">
        <f t="shared" si="7"/>
        <v>220.5</v>
      </c>
      <c r="Q10" s="43">
        <f t="shared" si="13"/>
        <v>157.5</v>
      </c>
      <c r="S10" s="45" t="s">
        <v>28</v>
      </c>
      <c r="T10" s="46">
        <f>SUM(I14,K14,M14)</f>
        <v>1572.45</v>
      </c>
      <c r="U10" s="35">
        <v>1</v>
      </c>
      <c r="V10" s="35">
        <f>SUM(B23,G23)</f>
        <v>6506.5</v>
      </c>
    </row>
    <row r="11" spans="1:23" x14ac:dyDescent="0.25">
      <c r="A11" s="12" t="s">
        <v>24</v>
      </c>
      <c r="B11" s="12">
        <v>6082</v>
      </c>
      <c r="C11" s="12">
        <v>917</v>
      </c>
      <c r="D11" s="12">
        <v>1526</v>
      </c>
      <c r="E11" s="13">
        <f>CUENTAS!B16</f>
        <v>882</v>
      </c>
      <c r="F11" s="14">
        <f>CUENTAS!B17</f>
        <v>630</v>
      </c>
      <c r="G11" s="13">
        <f t="shared" si="0"/>
        <v>10037</v>
      </c>
      <c r="I11" s="14">
        <f t="shared" si="1"/>
        <v>1520.5</v>
      </c>
      <c r="J11" s="14">
        <f t="shared" si="2"/>
        <v>1520.5</v>
      </c>
      <c r="K11" s="14">
        <f t="shared" si="3"/>
        <v>305.66666666666669</v>
      </c>
      <c r="L11" s="14">
        <f t="shared" ref="L11:M11" si="16">C11/3</f>
        <v>305.66666666666669</v>
      </c>
      <c r="M11" s="14">
        <f t="shared" si="16"/>
        <v>508.66666666666669</v>
      </c>
      <c r="N11" s="14">
        <f t="shared" si="5"/>
        <v>508.66666666666669</v>
      </c>
      <c r="O11" s="14">
        <f t="shared" si="6"/>
        <v>220.5</v>
      </c>
      <c r="P11" s="14">
        <f t="shared" si="7"/>
        <v>220.5</v>
      </c>
      <c r="Q11" s="43">
        <f t="shared" si="13"/>
        <v>157.5</v>
      </c>
      <c r="S11" s="45" t="s">
        <v>29</v>
      </c>
      <c r="T11" s="46">
        <f>SUM(I15,K15,M15)</f>
        <v>1589</v>
      </c>
      <c r="U11" s="35">
        <v>2</v>
      </c>
      <c r="V11" s="35">
        <f t="shared" ref="V11:V21" si="17">SUM(B24,G24)</f>
        <v>5443.5</v>
      </c>
    </row>
    <row r="12" spans="1:23" x14ac:dyDescent="0.25">
      <c r="A12" s="12" t="s">
        <v>26</v>
      </c>
      <c r="B12" s="12">
        <v>6460</v>
      </c>
      <c r="C12" s="12">
        <v>917</v>
      </c>
      <c r="D12" s="12">
        <v>1543</v>
      </c>
      <c r="E12" s="13">
        <f>CUENTAS!B16</f>
        <v>882</v>
      </c>
      <c r="F12" s="14">
        <f>CUENTAS!B17</f>
        <v>630</v>
      </c>
      <c r="G12" s="13">
        <f t="shared" si="0"/>
        <v>10432</v>
      </c>
      <c r="I12" s="14">
        <f t="shared" si="1"/>
        <v>1615</v>
      </c>
      <c r="J12" s="14">
        <f t="shared" si="2"/>
        <v>1615</v>
      </c>
      <c r="K12" s="14">
        <f t="shared" si="3"/>
        <v>305.66666666666669</v>
      </c>
      <c r="L12" s="14">
        <f t="shared" ref="L12:M12" si="18">C12/3</f>
        <v>305.66666666666669</v>
      </c>
      <c r="M12" s="14">
        <f t="shared" si="18"/>
        <v>514.33333333333337</v>
      </c>
      <c r="N12" s="14">
        <f t="shared" si="5"/>
        <v>514.33333333333337</v>
      </c>
      <c r="O12" s="14">
        <f t="shared" si="6"/>
        <v>220.5</v>
      </c>
      <c r="P12" s="14">
        <f t="shared" si="7"/>
        <v>220.5</v>
      </c>
      <c r="Q12" s="14">
        <f t="shared" si="13"/>
        <v>157.5</v>
      </c>
      <c r="S12"/>
      <c r="T12"/>
      <c r="U12" s="35">
        <v>3</v>
      </c>
      <c r="V12" s="35">
        <f t="shared" si="17"/>
        <v>5968.333333333333</v>
      </c>
    </row>
    <row r="13" spans="1:23" x14ac:dyDescent="0.25">
      <c r="A13" s="12" t="s">
        <v>27</v>
      </c>
      <c r="B13" s="12">
        <v>7262</v>
      </c>
      <c r="C13" s="12">
        <v>917</v>
      </c>
      <c r="D13" s="12">
        <v>1558</v>
      </c>
      <c r="E13" s="13">
        <f>CUENTAS!B16</f>
        <v>882</v>
      </c>
      <c r="F13" s="14">
        <f>CUENTAS!B17</f>
        <v>630</v>
      </c>
      <c r="G13" s="13">
        <f t="shared" si="0"/>
        <v>11249</v>
      </c>
      <c r="I13" s="14">
        <f t="shared" si="1"/>
        <v>1815.5</v>
      </c>
      <c r="J13" s="14">
        <f t="shared" si="2"/>
        <v>1815.5</v>
      </c>
      <c r="K13" s="14">
        <f t="shared" si="3"/>
        <v>305.66666666666669</v>
      </c>
      <c r="L13" s="14">
        <f t="shared" ref="L13:M13" si="19">C13/3</f>
        <v>305.66666666666669</v>
      </c>
      <c r="M13" s="14">
        <f t="shared" si="19"/>
        <v>519.33333333333337</v>
      </c>
      <c r="N13" s="14">
        <f t="shared" si="5"/>
        <v>519.33333333333337</v>
      </c>
      <c r="O13" s="14">
        <f t="shared" si="6"/>
        <v>220.5</v>
      </c>
      <c r="P13" s="14">
        <f t="shared" si="7"/>
        <v>220.5</v>
      </c>
      <c r="Q13" s="14">
        <f t="shared" si="13"/>
        <v>157.5</v>
      </c>
      <c r="S13"/>
      <c r="T13"/>
      <c r="U13" s="35">
        <v>4</v>
      </c>
      <c r="V13" s="35">
        <f t="shared" si="17"/>
        <v>5090.333333333333</v>
      </c>
    </row>
    <row r="14" spans="1:23" x14ac:dyDescent="0.25">
      <c r="A14" s="12" t="s">
        <v>28</v>
      </c>
      <c r="B14" s="12">
        <v>4781</v>
      </c>
      <c r="C14" s="12">
        <v>917</v>
      </c>
      <c r="D14" s="12">
        <v>1548</v>
      </c>
      <c r="E14" s="13">
        <f>CUENTAS!B16</f>
        <v>882</v>
      </c>
      <c r="F14" s="14">
        <f>CUENTAS!B17</f>
        <v>630</v>
      </c>
      <c r="G14" s="13">
        <f t="shared" si="0"/>
        <v>8758</v>
      </c>
      <c r="I14" s="14">
        <f>B14/5</f>
        <v>956.2</v>
      </c>
      <c r="J14" s="14">
        <f>B14/5</f>
        <v>956.2</v>
      </c>
      <c r="K14" s="14">
        <f>C14/4</f>
        <v>229.25</v>
      </c>
      <c r="L14" s="14">
        <f>C14/4</f>
        <v>229.25</v>
      </c>
      <c r="M14" s="14">
        <f>D14/4</f>
        <v>387</v>
      </c>
      <c r="N14" s="14">
        <f>D14/4</f>
        <v>387</v>
      </c>
      <c r="O14" s="14">
        <f>E14/4</f>
        <v>220.5</v>
      </c>
      <c r="P14" s="14">
        <f>E14/4</f>
        <v>220.5</v>
      </c>
      <c r="Q14" s="14">
        <f t="shared" si="13"/>
        <v>157.5</v>
      </c>
      <c r="U14" s="35">
        <v>5</v>
      </c>
      <c r="V14" s="35">
        <f t="shared" si="17"/>
        <v>5781.333333333333</v>
      </c>
    </row>
    <row r="15" spans="1:23" x14ac:dyDescent="0.25">
      <c r="A15" s="12" t="s">
        <v>29</v>
      </c>
      <c r="B15" s="12">
        <v>4880</v>
      </c>
      <c r="C15" s="12">
        <v>917</v>
      </c>
      <c r="D15" s="12">
        <v>1535</v>
      </c>
      <c r="E15" s="13">
        <f>CUENTAS!B16</f>
        <v>882</v>
      </c>
      <c r="F15" s="14">
        <f>CUENTAS!B17</f>
        <v>630</v>
      </c>
      <c r="G15" s="13">
        <f t="shared" si="0"/>
        <v>8844</v>
      </c>
      <c r="I15" s="14">
        <f>B15/5</f>
        <v>976</v>
      </c>
      <c r="J15" s="14">
        <f>B15/5</f>
        <v>976</v>
      </c>
      <c r="K15" s="14">
        <f>C15/4</f>
        <v>229.25</v>
      </c>
      <c r="L15" s="14">
        <f>C15/4</f>
        <v>229.25</v>
      </c>
      <c r="M15" s="14">
        <f>D15/4</f>
        <v>383.75</v>
      </c>
      <c r="N15" s="14">
        <f>D15/4</f>
        <v>383.75</v>
      </c>
      <c r="O15" s="14">
        <f>E15/4</f>
        <v>220.5</v>
      </c>
      <c r="P15" s="14">
        <f>E15/4</f>
        <v>220.5</v>
      </c>
      <c r="Q15" s="14">
        <f t="shared" si="13"/>
        <v>157.5</v>
      </c>
      <c r="U15" s="35">
        <v>6</v>
      </c>
      <c r="V15" s="35">
        <f t="shared" si="17"/>
        <v>5469.333333333333</v>
      </c>
    </row>
    <row r="16" spans="1:23" x14ac:dyDescent="0.25">
      <c r="A16" s="9" t="s">
        <v>30</v>
      </c>
      <c r="B16" s="7">
        <f t="shared" ref="B16:F16" si="20">SUM(B4:B15)</f>
        <v>66565</v>
      </c>
      <c r="C16" s="7">
        <f t="shared" si="20"/>
        <v>11570</v>
      </c>
      <c r="D16" s="7">
        <f t="shared" si="20"/>
        <v>18418</v>
      </c>
      <c r="E16" s="7">
        <f>SUM(E4:E15)</f>
        <v>10584</v>
      </c>
      <c r="F16" s="7">
        <f t="shared" si="20"/>
        <v>7560</v>
      </c>
      <c r="G16" s="22">
        <f t="shared" si="0"/>
        <v>114697</v>
      </c>
      <c r="U16" s="35">
        <v>7</v>
      </c>
      <c r="V16" s="35">
        <f t="shared" si="17"/>
        <v>5703.666666666667</v>
      </c>
    </row>
    <row r="17" spans="1:23" x14ac:dyDescent="0.25">
      <c r="B17" s="3"/>
      <c r="C17" s="3"/>
      <c r="D17" s="3"/>
      <c r="U17" s="35">
        <v>8</v>
      </c>
      <c r="V17" s="35">
        <f t="shared" si="17"/>
        <v>5966.166666666667</v>
      </c>
    </row>
    <row r="18" spans="1:23" x14ac:dyDescent="0.25">
      <c r="B18" s="3"/>
      <c r="C18" s="3"/>
      <c r="D18" s="3"/>
      <c r="U18" s="35">
        <v>9</v>
      </c>
      <c r="V18" s="35">
        <f t="shared" si="17"/>
        <v>6199.833333333333</v>
      </c>
    </row>
    <row r="19" spans="1:23" x14ac:dyDescent="0.25">
      <c r="B19" s="3"/>
      <c r="C19" s="3"/>
      <c r="D19" s="3"/>
      <c r="U19" s="35">
        <v>10</v>
      </c>
      <c r="V19" s="35">
        <f t="shared" si="17"/>
        <v>7207.8333333333321</v>
      </c>
    </row>
    <row r="20" spans="1:23" x14ac:dyDescent="0.25">
      <c r="B20" s="3"/>
      <c r="C20" s="3"/>
      <c r="D20" s="3"/>
      <c r="U20" s="35">
        <v>11</v>
      </c>
      <c r="V20" s="35">
        <f t="shared" si="17"/>
        <v>4822.3999999999996</v>
      </c>
    </row>
    <row r="21" spans="1:23" ht="15.75" customHeight="1" x14ac:dyDescent="0.25">
      <c r="B21" s="3" t="s">
        <v>12</v>
      </c>
      <c r="C21" s="3"/>
      <c r="F21" s="3"/>
      <c r="G21" s="3" t="s">
        <v>13</v>
      </c>
      <c r="M21" s="23" t="s">
        <v>31</v>
      </c>
      <c r="T21"/>
      <c r="U21" s="34">
        <v>12</v>
      </c>
      <c r="V21" s="34">
        <f t="shared" si="17"/>
        <v>4855.5</v>
      </c>
    </row>
    <row r="22" spans="1:23" ht="15.75" customHeight="1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K22" s="10" t="s">
        <v>5</v>
      </c>
      <c r="L22" s="26" t="s">
        <v>15</v>
      </c>
      <c r="M22" s="12" t="s">
        <v>12</v>
      </c>
      <c r="N22" s="12" t="s">
        <v>13</v>
      </c>
      <c r="Q22" s="30"/>
      <c r="R22" s="28" t="s">
        <v>35</v>
      </c>
      <c r="S22" s="28" t="s">
        <v>34</v>
      </c>
      <c r="T22"/>
    </row>
    <row r="23" spans="1:23" ht="15.75" customHeight="1" x14ac:dyDescent="0.25">
      <c r="A23" s="12" t="s">
        <v>14</v>
      </c>
      <c r="B23" s="12">
        <f t="shared" ref="B23:B34" si="21">SUM(I4,K4,M4,O4,M23)</f>
        <v>2299.75</v>
      </c>
      <c r="C23" s="12"/>
      <c r="D23" s="27">
        <f>SUM(B23,C23)</f>
        <v>2299.75</v>
      </c>
      <c r="F23" s="12" t="s">
        <v>14</v>
      </c>
      <c r="G23" s="12">
        <f>SUM(J4,L4,N4,P4,Q4,N23,T23,S23,R23)</f>
        <v>4206.75</v>
      </c>
      <c r="H23" s="14"/>
      <c r="I23" s="27">
        <f>SUM(G23,H23)</f>
        <v>4206.75</v>
      </c>
      <c r="K23" s="12" t="s">
        <v>14</v>
      </c>
      <c r="L23" s="14">
        <v>180</v>
      </c>
      <c r="M23" s="14">
        <f t="shared" ref="M23:M28" si="22">L23/3</f>
        <v>60</v>
      </c>
      <c r="N23" s="14">
        <f t="shared" ref="N23:N28" si="23">L23/3</f>
        <v>60</v>
      </c>
      <c r="Q23" s="30">
        <v>1</v>
      </c>
      <c r="R23" s="31">
        <v>31</v>
      </c>
      <c r="S23" s="31">
        <v>1666</v>
      </c>
      <c r="U23" s="2" t="s">
        <v>39</v>
      </c>
      <c r="V23" s="2"/>
      <c r="W23" s="2" t="s">
        <v>56</v>
      </c>
    </row>
    <row r="24" spans="1:23" ht="15.75" customHeight="1" x14ac:dyDescent="0.25">
      <c r="A24" s="12" t="s">
        <v>17</v>
      </c>
      <c r="B24" s="12">
        <f>SUM(I5,K5,M5,O5,M24)</f>
        <v>2451.25</v>
      </c>
      <c r="C24" s="12"/>
      <c r="D24" s="27">
        <f t="shared" ref="D24:D34" si="24">SUM(B24,C24)</f>
        <v>2451.25</v>
      </c>
      <c r="F24" s="12" t="s">
        <v>17</v>
      </c>
      <c r="G24" s="12">
        <f t="shared" ref="G24:G31" si="25">SUM(J5,L5,N5,P5,Q5,N24,T24,S24,R24)</f>
        <v>2992.25</v>
      </c>
      <c r="H24" s="14"/>
      <c r="I24" s="27">
        <f t="shared" ref="I24:I34" si="26">SUM(G24,H24)</f>
        <v>2992.25</v>
      </c>
      <c r="K24" s="12" t="s">
        <v>17</v>
      </c>
      <c r="L24" s="14">
        <v>290</v>
      </c>
      <c r="M24" s="14">
        <f t="shared" si="22"/>
        <v>96.666666666666671</v>
      </c>
      <c r="N24" s="14">
        <f t="shared" si="23"/>
        <v>96.666666666666671</v>
      </c>
      <c r="Q24" s="32">
        <v>2</v>
      </c>
      <c r="R24" s="31">
        <v>31</v>
      </c>
      <c r="S24" s="31">
        <v>300</v>
      </c>
      <c r="U24" s="2"/>
      <c r="V24" s="2"/>
      <c r="W24" s="36" t="s">
        <v>57</v>
      </c>
    </row>
    <row r="25" spans="1:23" ht="15.75" customHeight="1" x14ac:dyDescent="0.25">
      <c r="A25" s="12" t="s">
        <v>19</v>
      </c>
      <c r="B25" s="12">
        <f>SUM(I6,K6,M6,O6,M25)</f>
        <v>2713.6666666666665</v>
      </c>
      <c r="C25" s="12"/>
      <c r="D25" s="27">
        <f t="shared" si="24"/>
        <v>2713.6666666666665</v>
      </c>
      <c r="F25" s="12" t="s">
        <v>19</v>
      </c>
      <c r="G25" s="12">
        <f t="shared" si="25"/>
        <v>3254.6666666666665</v>
      </c>
      <c r="H25" s="14">
        <v>-300</v>
      </c>
      <c r="I25" s="27">
        <f t="shared" si="26"/>
        <v>2954.6666666666665</v>
      </c>
      <c r="K25" s="12" t="s">
        <v>19</v>
      </c>
      <c r="L25" s="14">
        <v>290</v>
      </c>
      <c r="M25" s="14">
        <f t="shared" si="22"/>
        <v>96.666666666666671</v>
      </c>
      <c r="N25" s="14">
        <f t="shared" si="23"/>
        <v>96.666666666666671</v>
      </c>
      <c r="Q25" s="30">
        <v>3</v>
      </c>
      <c r="R25" s="31">
        <v>31</v>
      </c>
      <c r="S25" s="31">
        <v>300</v>
      </c>
      <c r="U25" s="2"/>
    </row>
    <row r="26" spans="1:23" ht="15.75" customHeight="1" x14ac:dyDescent="0.25">
      <c r="A26" s="12" t="s">
        <v>20</v>
      </c>
      <c r="B26" s="12">
        <f t="shared" si="21"/>
        <v>2300.9166666666665</v>
      </c>
      <c r="C26" s="12"/>
      <c r="D26" s="27">
        <f t="shared" si="24"/>
        <v>2300.9166666666665</v>
      </c>
      <c r="F26" s="12" t="s">
        <v>20</v>
      </c>
      <c r="G26" s="12">
        <f>SUM(J7,L7,N7,P7,Q7,N26,T26,S26,R26)</f>
        <v>2789.4166666666665</v>
      </c>
      <c r="H26" s="14"/>
      <c r="I26" s="27">
        <f t="shared" si="26"/>
        <v>2789.4166666666665</v>
      </c>
      <c r="K26" s="12" t="s">
        <v>20</v>
      </c>
      <c r="L26" s="14">
        <v>290</v>
      </c>
      <c r="M26" s="14">
        <f t="shared" si="22"/>
        <v>96.666666666666671</v>
      </c>
      <c r="N26" s="14">
        <f t="shared" si="23"/>
        <v>96.666666666666671</v>
      </c>
      <c r="Q26" s="30">
        <v>4</v>
      </c>
      <c r="R26" s="31">
        <v>31</v>
      </c>
      <c r="S26" s="31">
        <v>300</v>
      </c>
      <c r="U26" s="38">
        <v>548</v>
      </c>
      <c r="V26" t="s">
        <v>52</v>
      </c>
    </row>
    <row r="27" spans="1:23" ht="15.75" customHeight="1" x14ac:dyDescent="0.25">
      <c r="A27" s="12" t="s">
        <v>21</v>
      </c>
      <c r="B27" s="12">
        <f t="shared" si="21"/>
        <v>2612.9166666666665</v>
      </c>
      <c r="C27" s="12"/>
      <c r="D27" s="27">
        <f t="shared" si="24"/>
        <v>2612.9166666666665</v>
      </c>
      <c r="F27" s="12" t="s">
        <v>21</v>
      </c>
      <c r="G27" s="12">
        <f t="shared" si="25"/>
        <v>3168.4166666666665</v>
      </c>
      <c r="H27" s="14"/>
      <c r="I27" s="27">
        <f t="shared" si="26"/>
        <v>3168.4166666666665</v>
      </c>
      <c r="K27" s="12" t="s">
        <v>21</v>
      </c>
      <c r="L27" s="14">
        <v>290</v>
      </c>
      <c r="M27" s="14">
        <f t="shared" si="22"/>
        <v>96.666666666666671</v>
      </c>
      <c r="N27" s="14">
        <f t="shared" si="23"/>
        <v>96.666666666666671</v>
      </c>
      <c r="Q27" s="30">
        <v>5</v>
      </c>
      <c r="R27" s="31">
        <v>31</v>
      </c>
      <c r="S27" s="31">
        <v>367</v>
      </c>
      <c r="U27" s="38">
        <v>49</v>
      </c>
      <c r="V27" s="39" t="s">
        <v>54</v>
      </c>
    </row>
    <row r="28" spans="1:23" ht="15.75" customHeight="1" x14ac:dyDescent="0.25">
      <c r="A28" s="12" t="s">
        <v>22</v>
      </c>
      <c r="B28" s="12">
        <f t="shared" si="21"/>
        <v>2456.9166666666665</v>
      </c>
      <c r="C28" s="12"/>
      <c r="D28" s="27">
        <f t="shared" si="24"/>
        <v>2456.9166666666665</v>
      </c>
      <c r="F28" s="12" t="s">
        <v>22</v>
      </c>
      <c r="G28" s="12">
        <f t="shared" si="25"/>
        <v>3012.4166666666665</v>
      </c>
      <c r="H28" s="14"/>
      <c r="I28" s="27">
        <f>SUM(G28,H28)</f>
        <v>3012.4166666666665</v>
      </c>
      <c r="K28" s="12" t="s">
        <v>22</v>
      </c>
      <c r="L28" s="14">
        <v>290</v>
      </c>
      <c r="M28" s="14">
        <f t="shared" si="22"/>
        <v>96.666666666666671</v>
      </c>
      <c r="N28" s="14">
        <f t="shared" si="23"/>
        <v>96.666666666666671</v>
      </c>
      <c r="Q28" s="30">
        <v>6</v>
      </c>
      <c r="R28" s="31">
        <v>31</v>
      </c>
      <c r="S28" s="31">
        <v>367</v>
      </c>
      <c r="U28" s="42">
        <v>84</v>
      </c>
      <c r="V28" s="39" t="s">
        <v>53</v>
      </c>
    </row>
    <row r="29" spans="1:23" ht="15.75" customHeight="1" x14ac:dyDescent="0.25">
      <c r="A29" s="12" t="s">
        <v>23</v>
      </c>
      <c r="B29" s="12">
        <f t="shared" si="21"/>
        <v>2574.0833333333335</v>
      </c>
      <c r="C29" s="12"/>
      <c r="D29" s="27">
        <f t="shared" si="24"/>
        <v>2574.0833333333335</v>
      </c>
      <c r="F29" s="12" t="s">
        <v>23</v>
      </c>
      <c r="G29" s="12">
        <f>SUM(J10,L10,N10,P10,Q10,N29,T29,S29,R29)</f>
        <v>3129.5833333333335</v>
      </c>
      <c r="H29" s="14"/>
      <c r="I29" s="27">
        <f t="shared" si="26"/>
        <v>3129.5833333333335</v>
      </c>
      <c r="K29" s="12" t="s">
        <v>23</v>
      </c>
      <c r="L29" s="14">
        <v>450</v>
      </c>
      <c r="M29" s="14">
        <f>L29/3</f>
        <v>150</v>
      </c>
      <c r="N29" s="14">
        <f>L29/3</f>
        <v>150</v>
      </c>
      <c r="Q29" s="30">
        <v>7</v>
      </c>
      <c r="R29" s="31">
        <v>31</v>
      </c>
      <c r="S29" s="31">
        <v>367</v>
      </c>
      <c r="U29" s="42">
        <v>500</v>
      </c>
      <c r="V29" s="39" t="s">
        <v>55</v>
      </c>
    </row>
    <row r="30" spans="1:23" ht="15.75" customHeight="1" x14ac:dyDescent="0.25">
      <c r="A30" s="12" t="s">
        <v>24</v>
      </c>
      <c r="B30" s="12">
        <f>SUM(I11,K11,M11,O11,M30)</f>
        <v>2705.3333333333335</v>
      </c>
      <c r="C30" s="12"/>
      <c r="D30" s="27">
        <f t="shared" si="24"/>
        <v>2705.3333333333335</v>
      </c>
      <c r="F30" s="12" t="s">
        <v>24</v>
      </c>
      <c r="G30" s="12">
        <f t="shared" si="25"/>
        <v>3260.8333333333335</v>
      </c>
      <c r="H30" s="14"/>
      <c r="I30" s="27">
        <f t="shared" si="26"/>
        <v>3260.8333333333335</v>
      </c>
      <c r="K30" s="12" t="s">
        <v>24</v>
      </c>
      <c r="L30" s="14">
        <v>450</v>
      </c>
      <c r="M30" s="14">
        <f>L30/3</f>
        <v>150</v>
      </c>
      <c r="N30" s="14">
        <f>L30/3</f>
        <v>150</v>
      </c>
      <c r="Q30" s="30">
        <v>8</v>
      </c>
      <c r="R30" s="31">
        <v>31</v>
      </c>
      <c r="S30" s="31">
        <v>367</v>
      </c>
    </row>
    <row r="31" spans="1:23" ht="15.75" customHeight="1" x14ac:dyDescent="0.25">
      <c r="A31" s="12" t="s">
        <v>26</v>
      </c>
      <c r="B31" s="12">
        <f>SUM(I12,K12,M12,O12,M31)</f>
        <v>2822.1666666666665</v>
      </c>
      <c r="C31" s="12"/>
      <c r="D31" s="27">
        <f t="shared" si="24"/>
        <v>2822.1666666666665</v>
      </c>
      <c r="F31" s="12" t="s">
        <v>26</v>
      </c>
      <c r="G31" s="12">
        <f t="shared" si="25"/>
        <v>3377.6666666666665</v>
      </c>
      <c r="H31" s="14"/>
      <c r="I31" s="27">
        <f t="shared" si="26"/>
        <v>3377.6666666666665</v>
      </c>
      <c r="K31" s="12" t="s">
        <v>26</v>
      </c>
      <c r="L31" s="14">
        <v>500</v>
      </c>
      <c r="M31" s="14">
        <f>L31/3</f>
        <v>166.66666666666666</v>
      </c>
      <c r="N31" s="14">
        <f>L31/3</f>
        <v>166.66666666666666</v>
      </c>
      <c r="Q31" s="30">
        <v>9</v>
      </c>
      <c r="R31" s="31">
        <v>31</v>
      </c>
      <c r="S31" s="31">
        <v>367</v>
      </c>
    </row>
    <row r="32" spans="1:23" ht="15.75" customHeight="1" x14ac:dyDescent="0.25">
      <c r="A32" s="12" t="s">
        <v>27</v>
      </c>
      <c r="B32" s="12">
        <f t="shared" si="21"/>
        <v>3027.6666666666665</v>
      </c>
      <c r="C32" s="12"/>
      <c r="D32" s="27">
        <f t="shared" si="24"/>
        <v>3027.6666666666665</v>
      </c>
      <c r="F32" s="12" t="s">
        <v>27</v>
      </c>
      <c r="G32" s="12">
        <f>SUM(J13,L13,N13,P13,Q13,N32,U26,S32,R32,U2,U27)</f>
        <v>4180.1666666666661</v>
      </c>
      <c r="H32" s="14"/>
      <c r="I32" s="27">
        <f t="shared" si="26"/>
        <v>4180.1666666666661</v>
      </c>
      <c r="K32" s="12" t="s">
        <v>27</v>
      </c>
      <c r="L32" s="14">
        <v>500</v>
      </c>
      <c r="M32" s="14">
        <f>L32/3</f>
        <v>166.66666666666666</v>
      </c>
      <c r="N32" s="14">
        <f>L32/3</f>
        <v>166.66666666666666</v>
      </c>
      <c r="Q32" s="30">
        <v>10</v>
      </c>
      <c r="R32" s="31">
        <v>31</v>
      </c>
      <c r="S32" s="31">
        <v>367</v>
      </c>
    </row>
    <row r="33" spans="1:24" ht="15.75" customHeight="1" x14ac:dyDescent="0.25">
      <c r="A33" s="12" t="s">
        <v>28</v>
      </c>
      <c r="B33" s="12">
        <f t="shared" si="21"/>
        <v>1792.95</v>
      </c>
      <c r="C33" s="12"/>
      <c r="D33" s="27">
        <f t="shared" si="24"/>
        <v>1792.95</v>
      </c>
      <c r="F33" s="12" t="s">
        <v>28</v>
      </c>
      <c r="G33" s="12">
        <f>SUM(J14,L14,N14,P14,Q14,N33,U28,S33,U26,R33,U27)</f>
        <v>3029.45</v>
      </c>
      <c r="H33" s="14"/>
      <c r="I33" s="27">
        <f t="shared" si="26"/>
        <v>3029.45</v>
      </c>
      <c r="K33" s="12" t="s">
        <v>28</v>
      </c>
      <c r="L33" s="14"/>
      <c r="M33" s="14">
        <f t="shared" ref="M33:M34" si="27">L33/5</f>
        <v>0</v>
      </c>
      <c r="N33" s="14">
        <f t="shared" ref="N33:N34" si="28">L33/5</f>
        <v>0</v>
      </c>
      <c r="Q33" s="30">
        <v>11</v>
      </c>
      <c r="R33" s="31">
        <v>31</v>
      </c>
      <c r="S33" s="31">
        <v>367</v>
      </c>
    </row>
    <row r="34" spans="1:24" ht="15.75" customHeight="1" x14ac:dyDescent="0.25">
      <c r="A34" s="12" t="s">
        <v>29</v>
      </c>
      <c r="B34" s="12">
        <f t="shared" si="21"/>
        <v>1809.5</v>
      </c>
      <c r="C34" s="12"/>
      <c r="D34" s="27">
        <f t="shared" si="24"/>
        <v>1809.5</v>
      </c>
      <c r="F34" s="12" t="s">
        <v>29</v>
      </c>
      <c r="G34" s="12">
        <f>SUM(J15,L15,N15,P15,Q15,N34,U28,S34,U26,R34,U27)</f>
        <v>3046</v>
      </c>
      <c r="H34" s="14"/>
      <c r="I34" s="27">
        <f t="shared" si="26"/>
        <v>3046</v>
      </c>
      <c r="K34" s="12" t="s">
        <v>29</v>
      </c>
      <c r="L34" s="14"/>
      <c r="M34" s="14">
        <f t="shared" si="27"/>
        <v>0</v>
      </c>
      <c r="N34" s="14">
        <f t="shared" si="28"/>
        <v>0</v>
      </c>
      <c r="Q34" s="30">
        <v>12</v>
      </c>
      <c r="R34" s="31">
        <v>31</v>
      </c>
      <c r="S34" s="31">
        <v>367</v>
      </c>
    </row>
    <row r="35" spans="1:24" ht="15.75" customHeight="1" x14ac:dyDescent="0.25">
      <c r="A35" s="9" t="s">
        <v>30</v>
      </c>
      <c r="B35" s="7">
        <f>SUM(B23:B34)</f>
        <v>29567.116666666665</v>
      </c>
      <c r="C35" s="3"/>
      <c r="D35" s="7">
        <f>SUM(D23:D34)</f>
        <v>29567.116666666665</v>
      </c>
      <c r="F35" s="9" t="s">
        <v>30</v>
      </c>
      <c r="G35" s="7">
        <f>SUM(G23:G34)</f>
        <v>39447.616666666661</v>
      </c>
      <c r="I35" s="7">
        <f>SUM(I23:I34)</f>
        <v>39147.616666666661</v>
      </c>
    </row>
    <row r="36" spans="1:24" ht="15.75" customHeight="1" x14ac:dyDescent="0.25">
      <c r="C36" s="3"/>
      <c r="D36" s="3"/>
    </row>
    <row r="37" spans="1:24" ht="15.75" customHeight="1" x14ac:dyDescent="0.25">
      <c r="C37" s="3"/>
      <c r="D37" s="3"/>
    </row>
    <row r="38" spans="1:24" ht="15.75" customHeight="1" x14ac:dyDescent="0.25">
      <c r="B38" s="3"/>
      <c r="C38" s="3"/>
      <c r="D38" s="3"/>
    </row>
    <row r="39" spans="1:24" ht="15.75" customHeight="1" x14ac:dyDescent="0.25">
      <c r="B39" s="3"/>
      <c r="C39" s="3"/>
      <c r="D39" s="3"/>
      <c r="X39">
        <v>256</v>
      </c>
    </row>
    <row r="40" spans="1:24" ht="15.75" customHeight="1" x14ac:dyDescent="0.25">
      <c r="B40" s="3"/>
      <c r="C40" s="3"/>
      <c r="D40" s="3"/>
      <c r="X40">
        <v>20</v>
      </c>
    </row>
    <row r="41" spans="1:24" ht="15.75" customHeight="1" x14ac:dyDescent="0.25">
      <c r="B41" s="3"/>
      <c r="C41" s="3"/>
      <c r="D41" s="3"/>
      <c r="X41">
        <v>17</v>
      </c>
    </row>
    <row r="42" spans="1:24" ht="15.75" customHeight="1" x14ac:dyDescent="0.25">
      <c r="B42" s="3"/>
      <c r="C42" s="3"/>
      <c r="D42" s="3"/>
      <c r="X42">
        <v>151</v>
      </c>
    </row>
    <row r="43" spans="1:24" ht="15.75" customHeight="1" x14ac:dyDescent="0.25">
      <c r="B43" s="3"/>
      <c r="C43" s="3"/>
      <c r="D43" s="3"/>
    </row>
    <row r="44" spans="1:24" ht="15.75" customHeight="1" x14ac:dyDescent="0.25">
      <c r="B44" s="3"/>
      <c r="C44" s="3"/>
      <c r="D44" s="3"/>
    </row>
    <row r="45" spans="1:24" ht="15.75" customHeight="1" x14ac:dyDescent="0.25">
      <c r="B45" s="3"/>
      <c r="C45" s="3"/>
      <c r="D45" s="3"/>
    </row>
    <row r="46" spans="1:24" ht="15.75" customHeight="1" x14ac:dyDescent="0.25">
      <c r="B46" s="3"/>
      <c r="C46" s="3"/>
      <c r="D46" s="3"/>
    </row>
    <row r="47" spans="1:24" ht="15.75" customHeight="1" x14ac:dyDescent="0.25">
      <c r="B47" s="3"/>
      <c r="C47" s="3"/>
      <c r="D47" s="3"/>
    </row>
    <row r="48" spans="1:24" ht="15.75" customHeight="1" x14ac:dyDescent="0.25">
      <c r="B48" s="3"/>
      <c r="C48" s="3"/>
      <c r="D48" s="3"/>
    </row>
    <row r="49" spans="2:4" ht="15.75" customHeight="1" x14ac:dyDescent="0.25">
      <c r="B49" s="3"/>
      <c r="C49" s="3"/>
      <c r="D49" s="3"/>
    </row>
    <row r="50" spans="2:4" ht="15.75" customHeight="1" x14ac:dyDescent="0.25">
      <c r="B50" s="3"/>
      <c r="C50" s="3"/>
      <c r="D50" s="3"/>
    </row>
    <row r="51" spans="2:4" ht="15.75" customHeight="1" x14ac:dyDescent="0.25">
      <c r="B51" s="3"/>
      <c r="C51" s="3"/>
      <c r="D51" s="3"/>
    </row>
    <row r="52" spans="2:4" ht="15.75" customHeight="1" x14ac:dyDescent="0.25">
      <c r="B52" s="3"/>
      <c r="C52" s="3"/>
      <c r="D52" s="3"/>
    </row>
    <row r="53" spans="2:4" ht="15.75" customHeight="1" x14ac:dyDescent="0.25">
      <c r="B53" s="3"/>
      <c r="C53" s="3"/>
      <c r="D53" s="3"/>
    </row>
    <row r="54" spans="2:4" ht="15.75" customHeight="1" x14ac:dyDescent="0.25">
      <c r="B54" s="3"/>
      <c r="C54" s="3"/>
      <c r="D54" s="3"/>
    </row>
    <row r="55" spans="2:4" ht="15.75" customHeight="1" x14ac:dyDescent="0.25">
      <c r="B55" s="3"/>
      <c r="C55" s="3"/>
      <c r="D55" s="3"/>
    </row>
    <row r="56" spans="2:4" ht="15.75" customHeight="1" x14ac:dyDescent="0.25">
      <c r="B56" s="3"/>
      <c r="C56" s="3"/>
      <c r="D56" s="3"/>
    </row>
    <row r="57" spans="2:4" ht="15.75" customHeight="1" x14ac:dyDescent="0.25">
      <c r="B57" s="3"/>
      <c r="C57" s="3"/>
      <c r="D57" s="3"/>
    </row>
    <row r="58" spans="2:4" ht="15.75" customHeight="1" x14ac:dyDescent="0.25">
      <c r="B58" s="3"/>
      <c r="C58" s="3"/>
      <c r="D58" s="3"/>
    </row>
    <row r="59" spans="2:4" ht="15.75" customHeight="1" x14ac:dyDescent="0.25">
      <c r="B59" s="3"/>
      <c r="C59" s="3"/>
      <c r="D59" s="3"/>
    </row>
    <row r="60" spans="2:4" ht="15.75" customHeight="1" x14ac:dyDescent="0.25">
      <c r="B60" s="3"/>
      <c r="C60" s="3"/>
      <c r="D60" s="3"/>
    </row>
    <row r="61" spans="2:4" ht="15.75" customHeight="1" x14ac:dyDescent="0.25">
      <c r="B61" s="3"/>
      <c r="C61" s="3"/>
      <c r="D61" s="3"/>
    </row>
    <row r="62" spans="2:4" ht="15.75" customHeight="1" x14ac:dyDescent="0.25">
      <c r="B62" s="3"/>
      <c r="C62" s="3"/>
      <c r="D62" s="3"/>
    </row>
    <row r="63" spans="2:4" ht="15.75" customHeight="1" x14ac:dyDescent="0.25">
      <c r="B63" s="3"/>
      <c r="C63" s="3"/>
      <c r="D63" s="3"/>
    </row>
    <row r="64" spans="2:4" ht="15.75" customHeight="1" x14ac:dyDescent="0.25">
      <c r="B64" s="3"/>
      <c r="C64" s="3"/>
      <c r="D64" s="3"/>
    </row>
    <row r="65" spans="2:4" ht="15.75" customHeight="1" x14ac:dyDescent="0.25">
      <c r="B65" s="3"/>
      <c r="C65" s="3"/>
      <c r="D65" s="3"/>
    </row>
    <row r="66" spans="2:4" ht="15.75" customHeight="1" x14ac:dyDescent="0.25">
      <c r="B66" s="3"/>
      <c r="C66" s="3"/>
      <c r="D66" s="3"/>
    </row>
    <row r="67" spans="2:4" ht="15.75" customHeight="1" x14ac:dyDescent="0.25">
      <c r="B67" s="3"/>
      <c r="C67" s="3"/>
      <c r="D67" s="3"/>
    </row>
    <row r="68" spans="2:4" ht="15.75" customHeight="1" x14ac:dyDescent="0.25">
      <c r="B68" s="3"/>
      <c r="C68" s="3"/>
      <c r="D68" s="3"/>
    </row>
    <row r="69" spans="2:4" ht="15.75" customHeight="1" x14ac:dyDescent="0.25">
      <c r="B69" s="3"/>
      <c r="C69" s="3"/>
      <c r="D69" s="3"/>
    </row>
    <row r="70" spans="2:4" ht="15.75" customHeight="1" x14ac:dyDescent="0.25">
      <c r="B70" s="3"/>
      <c r="C70" s="3"/>
      <c r="D70" s="3"/>
    </row>
    <row r="71" spans="2:4" ht="15.75" customHeight="1" x14ac:dyDescent="0.25">
      <c r="B71" s="3"/>
      <c r="C71" s="3"/>
      <c r="D71" s="3"/>
    </row>
    <row r="72" spans="2:4" ht="15.75" customHeight="1" x14ac:dyDescent="0.25">
      <c r="B72" s="3"/>
      <c r="C72" s="3"/>
      <c r="D72" s="3"/>
    </row>
    <row r="73" spans="2:4" ht="15.75" customHeight="1" x14ac:dyDescent="0.25">
      <c r="B73" s="3"/>
      <c r="C73" s="3"/>
      <c r="D73" s="3"/>
    </row>
    <row r="74" spans="2:4" ht="15.75" customHeight="1" x14ac:dyDescent="0.25">
      <c r="B74" s="3"/>
      <c r="C74" s="3"/>
      <c r="D74" s="3"/>
    </row>
    <row r="75" spans="2:4" ht="15.75" customHeight="1" x14ac:dyDescent="0.25">
      <c r="B75" s="3"/>
      <c r="C75" s="3"/>
      <c r="D75" s="3"/>
    </row>
    <row r="76" spans="2:4" ht="15.75" customHeight="1" x14ac:dyDescent="0.25">
      <c r="B76" s="3"/>
      <c r="C76" s="3"/>
      <c r="D76" s="3"/>
    </row>
    <row r="77" spans="2:4" ht="15.75" customHeight="1" x14ac:dyDescent="0.25">
      <c r="B77" s="3"/>
      <c r="C77" s="3"/>
      <c r="D77" s="3"/>
    </row>
    <row r="78" spans="2:4" ht="15.75" customHeight="1" x14ac:dyDescent="0.25">
      <c r="B78" s="3"/>
      <c r="C78" s="3"/>
      <c r="D78" s="3"/>
    </row>
    <row r="79" spans="2:4" ht="15.75" customHeight="1" x14ac:dyDescent="0.25">
      <c r="B79" s="3"/>
      <c r="C79" s="3"/>
      <c r="D79" s="3"/>
    </row>
    <row r="80" spans="2:4" ht="15.75" customHeight="1" x14ac:dyDescent="0.25">
      <c r="B80" s="3"/>
      <c r="C80" s="3"/>
      <c r="D80" s="3"/>
    </row>
    <row r="81" spans="2:4" ht="15.75" customHeight="1" x14ac:dyDescent="0.25">
      <c r="B81" s="3"/>
      <c r="C81" s="3"/>
      <c r="D81" s="3"/>
    </row>
    <row r="82" spans="2:4" ht="15.75" customHeight="1" x14ac:dyDescent="0.25">
      <c r="B82" s="3"/>
      <c r="C82" s="3"/>
      <c r="D82" s="3"/>
    </row>
    <row r="83" spans="2:4" ht="15.75" customHeight="1" x14ac:dyDescent="0.25">
      <c r="B83" s="3"/>
      <c r="C83" s="3"/>
      <c r="D83" s="3"/>
    </row>
    <row r="84" spans="2:4" ht="15.75" customHeight="1" x14ac:dyDescent="0.25">
      <c r="B84" s="3"/>
      <c r="C84" s="3"/>
      <c r="D84" s="3"/>
    </row>
    <row r="85" spans="2:4" ht="15.75" customHeight="1" x14ac:dyDescent="0.25">
      <c r="B85" s="3"/>
      <c r="C85" s="3"/>
      <c r="D85" s="3"/>
    </row>
    <row r="86" spans="2:4" ht="15.75" customHeight="1" x14ac:dyDescent="0.25">
      <c r="B86" s="3"/>
      <c r="C86" s="3"/>
      <c r="D86" s="3"/>
    </row>
    <row r="87" spans="2:4" ht="15.75" customHeight="1" x14ac:dyDescent="0.25">
      <c r="B87" s="3"/>
      <c r="C87" s="3"/>
      <c r="D87" s="3"/>
    </row>
    <row r="88" spans="2:4" ht="15.75" customHeight="1" x14ac:dyDescent="0.25">
      <c r="B88" s="3"/>
      <c r="C88" s="3"/>
      <c r="D88" s="3"/>
    </row>
    <row r="89" spans="2:4" ht="15.75" customHeight="1" x14ac:dyDescent="0.25">
      <c r="B89" s="3"/>
      <c r="C89" s="3"/>
      <c r="D89" s="3"/>
    </row>
    <row r="90" spans="2:4" ht="15.75" customHeight="1" x14ac:dyDescent="0.25">
      <c r="B90" s="3"/>
      <c r="C90" s="3"/>
      <c r="D90" s="3"/>
    </row>
    <row r="91" spans="2:4" ht="15.75" customHeight="1" x14ac:dyDescent="0.25">
      <c r="B91" s="3"/>
      <c r="C91" s="3"/>
      <c r="D91" s="3"/>
    </row>
    <row r="92" spans="2:4" ht="15.75" customHeight="1" x14ac:dyDescent="0.25">
      <c r="B92" s="3"/>
      <c r="C92" s="3"/>
      <c r="D92" s="3"/>
    </row>
    <row r="93" spans="2:4" ht="15.75" customHeight="1" x14ac:dyDescent="0.25">
      <c r="B93" s="3"/>
      <c r="C93" s="3"/>
      <c r="D93" s="3"/>
    </row>
    <row r="94" spans="2:4" ht="15.75" customHeight="1" x14ac:dyDescent="0.25">
      <c r="B94" s="3"/>
      <c r="C94" s="3"/>
      <c r="D94" s="3"/>
    </row>
    <row r="95" spans="2:4" ht="15.75" customHeight="1" x14ac:dyDescent="0.25">
      <c r="B95" s="3"/>
      <c r="C95" s="3"/>
      <c r="D95" s="3"/>
    </row>
    <row r="96" spans="2:4" ht="15.75" customHeight="1" x14ac:dyDescent="0.25">
      <c r="B96" s="3"/>
      <c r="C96" s="3"/>
      <c r="D96" s="3"/>
    </row>
    <row r="97" spans="2:4" ht="15.75" customHeight="1" x14ac:dyDescent="0.25">
      <c r="B97" s="3"/>
      <c r="C97" s="3"/>
      <c r="D97" s="3"/>
    </row>
    <row r="98" spans="2:4" ht="15.75" customHeight="1" x14ac:dyDescent="0.25">
      <c r="B98" s="3"/>
      <c r="C98" s="3"/>
      <c r="D98" s="3"/>
    </row>
    <row r="99" spans="2:4" ht="15.75" customHeight="1" x14ac:dyDescent="0.25">
      <c r="B99" s="3"/>
      <c r="C99" s="3"/>
      <c r="D99" s="3"/>
    </row>
    <row r="100" spans="2:4" ht="15.75" customHeight="1" x14ac:dyDescent="0.25">
      <c r="B100" s="3"/>
      <c r="C100" s="3"/>
      <c r="D100" s="3"/>
    </row>
    <row r="101" spans="2:4" ht="15.75" customHeight="1" x14ac:dyDescent="0.25">
      <c r="B101" s="3"/>
      <c r="C101" s="3"/>
      <c r="D101" s="3"/>
    </row>
    <row r="102" spans="2:4" ht="15.75" customHeight="1" x14ac:dyDescent="0.25">
      <c r="B102" s="3"/>
      <c r="C102" s="3"/>
      <c r="D102" s="3"/>
    </row>
    <row r="103" spans="2:4" ht="15.75" customHeight="1" x14ac:dyDescent="0.25">
      <c r="B103" s="3"/>
      <c r="C103" s="3"/>
      <c r="D103" s="3"/>
    </row>
    <row r="104" spans="2:4" ht="15.75" customHeight="1" x14ac:dyDescent="0.25">
      <c r="B104" s="3"/>
      <c r="C104" s="3"/>
      <c r="D104" s="3"/>
    </row>
    <row r="105" spans="2:4" ht="15.75" customHeight="1" x14ac:dyDescent="0.25">
      <c r="B105" s="3"/>
      <c r="C105" s="3"/>
      <c r="D105" s="3"/>
    </row>
    <row r="106" spans="2:4" ht="15.75" customHeight="1" x14ac:dyDescent="0.25">
      <c r="B106" s="3"/>
      <c r="C106" s="3"/>
      <c r="D106" s="3"/>
    </row>
    <row r="107" spans="2:4" ht="15.75" customHeight="1" x14ac:dyDescent="0.25">
      <c r="B107" s="3"/>
      <c r="C107" s="3"/>
      <c r="D107" s="3"/>
    </row>
    <row r="108" spans="2:4" ht="15.75" customHeight="1" x14ac:dyDescent="0.25">
      <c r="B108" s="3"/>
      <c r="C108" s="3"/>
      <c r="D108" s="3"/>
    </row>
    <row r="109" spans="2:4" ht="15.75" customHeight="1" x14ac:dyDescent="0.25">
      <c r="B109" s="3"/>
      <c r="C109" s="3"/>
      <c r="D109" s="3"/>
    </row>
    <row r="110" spans="2:4" ht="15.75" customHeight="1" x14ac:dyDescent="0.25">
      <c r="B110" s="3"/>
      <c r="C110" s="3"/>
      <c r="D110" s="3"/>
    </row>
    <row r="111" spans="2:4" ht="15.75" customHeight="1" x14ac:dyDescent="0.25">
      <c r="B111" s="3"/>
      <c r="C111" s="3"/>
      <c r="D111" s="3"/>
    </row>
    <row r="112" spans="2:4" ht="15.75" customHeight="1" x14ac:dyDescent="0.25">
      <c r="B112" s="3"/>
      <c r="C112" s="3"/>
      <c r="D112" s="3"/>
    </row>
    <row r="113" spans="2:4" ht="15.75" customHeight="1" x14ac:dyDescent="0.25">
      <c r="B113" s="3"/>
      <c r="C113" s="3"/>
      <c r="D113" s="3"/>
    </row>
    <row r="114" spans="2:4" ht="15.75" customHeight="1" x14ac:dyDescent="0.25">
      <c r="B114" s="3"/>
      <c r="C114" s="3"/>
      <c r="D114" s="3"/>
    </row>
    <row r="115" spans="2:4" ht="15.75" customHeight="1" x14ac:dyDescent="0.25">
      <c r="B115" s="3"/>
      <c r="C115" s="3"/>
      <c r="D115" s="3"/>
    </row>
    <row r="116" spans="2:4" ht="15.75" customHeight="1" x14ac:dyDescent="0.25">
      <c r="B116" s="3"/>
      <c r="C116" s="3"/>
      <c r="D116" s="3"/>
    </row>
    <row r="117" spans="2:4" ht="15.75" customHeight="1" x14ac:dyDescent="0.25">
      <c r="B117" s="3"/>
      <c r="C117" s="3"/>
      <c r="D117" s="3"/>
    </row>
    <row r="118" spans="2:4" ht="15.75" customHeight="1" x14ac:dyDescent="0.25">
      <c r="B118" s="3"/>
      <c r="C118" s="3"/>
      <c r="D118" s="3"/>
    </row>
    <row r="119" spans="2:4" ht="15.75" customHeight="1" x14ac:dyDescent="0.25">
      <c r="B119" s="3"/>
      <c r="C119" s="3"/>
      <c r="D119" s="3"/>
    </row>
    <row r="120" spans="2:4" ht="15.75" customHeight="1" x14ac:dyDescent="0.25">
      <c r="B120" s="3"/>
      <c r="C120" s="3"/>
      <c r="D120" s="3"/>
    </row>
    <row r="121" spans="2:4" ht="15.75" customHeight="1" x14ac:dyDescent="0.25">
      <c r="B121" s="3"/>
      <c r="C121" s="3"/>
      <c r="D121" s="3"/>
    </row>
    <row r="122" spans="2:4" ht="15.75" customHeight="1" x14ac:dyDescent="0.25">
      <c r="B122" s="3"/>
      <c r="C122" s="3"/>
      <c r="D122" s="3"/>
    </row>
    <row r="123" spans="2:4" ht="15.75" customHeight="1" x14ac:dyDescent="0.25">
      <c r="B123" s="3"/>
      <c r="C123" s="3"/>
      <c r="D123" s="3"/>
    </row>
    <row r="124" spans="2:4" ht="15.75" customHeight="1" x14ac:dyDescent="0.25">
      <c r="B124" s="3"/>
      <c r="C124" s="3"/>
      <c r="D124" s="3"/>
    </row>
    <row r="125" spans="2:4" ht="15.75" customHeight="1" x14ac:dyDescent="0.25">
      <c r="B125" s="3"/>
      <c r="C125" s="3"/>
      <c r="D125" s="3"/>
    </row>
    <row r="126" spans="2:4" ht="15.75" customHeight="1" x14ac:dyDescent="0.25">
      <c r="B126" s="3"/>
      <c r="C126" s="3"/>
      <c r="D126" s="3"/>
    </row>
    <row r="127" spans="2:4" ht="15.75" customHeight="1" x14ac:dyDescent="0.25">
      <c r="B127" s="3"/>
      <c r="C127" s="3"/>
      <c r="D127" s="3"/>
    </row>
    <row r="128" spans="2:4" ht="15.75" customHeight="1" x14ac:dyDescent="0.25">
      <c r="B128" s="3"/>
      <c r="C128" s="3"/>
      <c r="D128" s="3"/>
    </row>
    <row r="129" spans="2:4" ht="15.75" customHeight="1" x14ac:dyDescent="0.25">
      <c r="B129" s="3"/>
      <c r="C129" s="3"/>
      <c r="D129" s="3"/>
    </row>
    <row r="130" spans="2:4" ht="15.75" customHeight="1" x14ac:dyDescent="0.25">
      <c r="B130" s="3"/>
      <c r="C130" s="3"/>
      <c r="D130" s="3"/>
    </row>
    <row r="131" spans="2:4" ht="15.75" customHeight="1" x14ac:dyDescent="0.25">
      <c r="B131" s="3"/>
      <c r="C131" s="3"/>
      <c r="D131" s="3"/>
    </row>
    <row r="132" spans="2:4" ht="15.75" customHeight="1" x14ac:dyDescent="0.25">
      <c r="B132" s="3"/>
      <c r="C132" s="3"/>
      <c r="D132" s="3"/>
    </row>
    <row r="133" spans="2:4" ht="15.75" customHeight="1" x14ac:dyDescent="0.25">
      <c r="B133" s="3"/>
      <c r="C133" s="3"/>
      <c r="D133" s="3"/>
    </row>
    <row r="134" spans="2:4" ht="15.75" customHeight="1" x14ac:dyDescent="0.25">
      <c r="B134" s="3"/>
      <c r="C134" s="3"/>
      <c r="D134" s="3"/>
    </row>
    <row r="135" spans="2:4" ht="15.75" customHeight="1" x14ac:dyDescent="0.25">
      <c r="B135" s="3"/>
      <c r="C135" s="3"/>
      <c r="D135" s="3"/>
    </row>
    <row r="136" spans="2:4" ht="15.75" customHeight="1" x14ac:dyDescent="0.25">
      <c r="B136" s="3"/>
      <c r="C136" s="3"/>
      <c r="D136" s="3"/>
    </row>
    <row r="137" spans="2:4" ht="15.75" customHeight="1" x14ac:dyDescent="0.25">
      <c r="B137" s="3"/>
      <c r="C137" s="3"/>
      <c r="D137" s="3"/>
    </row>
    <row r="138" spans="2:4" ht="15.75" customHeight="1" x14ac:dyDescent="0.25">
      <c r="B138" s="3"/>
      <c r="C138" s="3"/>
      <c r="D138" s="3"/>
    </row>
    <row r="139" spans="2:4" ht="15.75" customHeight="1" x14ac:dyDescent="0.25">
      <c r="B139" s="3"/>
      <c r="C139" s="3"/>
      <c r="D139" s="3"/>
    </row>
    <row r="140" spans="2:4" ht="15.75" customHeight="1" x14ac:dyDescent="0.25">
      <c r="B140" s="3"/>
      <c r="C140" s="3"/>
      <c r="D140" s="3"/>
    </row>
    <row r="141" spans="2:4" ht="15.75" customHeight="1" x14ac:dyDescent="0.25">
      <c r="B141" s="3"/>
      <c r="C141" s="3"/>
      <c r="D141" s="3"/>
    </row>
    <row r="142" spans="2:4" ht="15.75" customHeight="1" x14ac:dyDescent="0.25">
      <c r="B142" s="3"/>
      <c r="C142" s="3"/>
      <c r="D142" s="3"/>
    </row>
    <row r="143" spans="2:4" ht="15.75" customHeight="1" x14ac:dyDescent="0.25">
      <c r="B143" s="3"/>
      <c r="C143" s="3"/>
      <c r="D143" s="3"/>
    </row>
    <row r="144" spans="2:4" ht="15.75" customHeight="1" x14ac:dyDescent="0.25">
      <c r="B144" s="3"/>
      <c r="C144" s="3"/>
      <c r="D144" s="3"/>
    </row>
    <row r="145" spans="2:4" ht="15.75" customHeight="1" x14ac:dyDescent="0.25">
      <c r="B145" s="3"/>
      <c r="C145" s="3"/>
      <c r="D145" s="3"/>
    </row>
    <row r="146" spans="2:4" ht="15.75" customHeight="1" x14ac:dyDescent="0.25">
      <c r="B146" s="3"/>
      <c r="C146" s="3"/>
      <c r="D146" s="3"/>
    </row>
    <row r="147" spans="2:4" ht="15.75" customHeight="1" x14ac:dyDescent="0.25">
      <c r="B147" s="3"/>
      <c r="C147" s="3"/>
      <c r="D147" s="3"/>
    </row>
    <row r="148" spans="2:4" ht="15.75" customHeight="1" x14ac:dyDescent="0.25">
      <c r="B148" s="3"/>
      <c r="C148" s="3"/>
      <c r="D148" s="3"/>
    </row>
    <row r="149" spans="2:4" ht="15.75" customHeight="1" x14ac:dyDescent="0.25">
      <c r="B149" s="3"/>
      <c r="C149" s="3"/>
      <c r="D149" s="3"/>
    </row>
    <row r="150" spans="2:4" ht="15.75" customHeight="1" x14ac:dyDescent="0.25">
      <c r="B150" s="3"/>
      <c r="C150" s="3"/>
      <c r="D150" s="3"/>
    </row>
    <row r="151" spans="2:4" ht="15.75" customHeight="1" x14ac:dyDescent="0.25">
      <c r="B151" s="3"/>
      <c r="C151" s="3"/>
      <c r="D151" s="3"/>
    </row>
    <row r="152" spans="2:4" ht="15.75" customHeight="1" x14ac:dyDescent="0.25">
      <c r="B152" s="3"/>
      <c r="C152" s="3"/>
      <c r="D152" s="3"/>
    </row>
    <row r="153" spans="2:4" ht="15.75" customHeight="1" x14ac:dyDescent="0.25">
      <c r="B153" s="3"/>
      <c r="C153" s="3"/>
      <c r="D153" s="3"/>
    </row>
    <row r="154" spans="2:4" ht="15.75" customHeight="1" x14ac:dyDescent="0.25">
      <c r="B154" s="3"/>
      <c r="C154" s="3"/>
      <c r="D154" s="3"/>
    </row>
    <row r="155" spans="2:4" ht="15.75" customHeight="1" x14ac:dyDescent="0.25">
      <c r="B155" s="3"/>
      <c r="C155" s="3"/>
      <c r="D155" s="3"/>
    </row>
    <row r="156" spans="2:4" ht="15.75" customHeight="1" x14ac:dyDescent="0.25">
      <c r="B156" s="3"/>
      <c r="C156" s="3"/>
      <c r="D156" s="3"/>
    </row>
    <row r="157" spans="2:4" ht="15.75" customHeight="1" x14ac:dyDescent="0.25">
      <c r="B157" s="3"/>
      <c r="C157" s="3"/>
      <c r="D157" s="3"/>
    </row>
    <row r="158" spans="2:4" ht="15.75" customHeight="1" x14ac:dyDescent="0.25">
      <c r="B158" s="3"/>
      <c r="C158" s="3"/>
      <c r="D158" s="3"/>
    </row>
    <row r="159" spans="2:4" ht="15.75" customHeight="1" x14ac:dyDescent="0.25">
      <c r="B159" s="3"/>
      <c r="C159" s="3"/>
      <c r="D159" s="3"/>
    </row>
    <row r="160" spans="2:4" ht="15.75" customHeight="1" x14ac:dyDescent="0.25">
      <c r="B160" s="3"/>
      <c r="C160" s="3"/>
      <c r="D160" s="3"/>
    </row>
    <row r="161" spans="2:4" ht="15.75" customHeight="1" x14ac:dyDescent="0.25">
      <c r="B161" s="3"/>
      <c r="C161" s="3"/>
      <c r="D161" s="3"/>
    </row>
    <row r="162" spans="2:4" ht="15.75" customHeight="1" x14ac:dyDescent="0.25">
      <c r="B162" s="3"/>
      <c r="C162" s="3"/>
      <c r="D162" s="3"/>
    </row>
    <row r="163" spans="2:4" ht="15.75" customHeight="1" x14ac:dyDescent="0.25">
      <c r="B163" s="3"/>
      <c r="C163" s="3"/>
      <c r="D163" s="3"/>
    </row>
    <row r="164" spans="2:4" ht="15.75" customHeight="1" x14ac:dyDescent="0.25">
      <c r="B164" s="3"/>
      <c r="C164" s="3"/>
      <c r="D164" s="3"/>
    </row>
    <row r="165" spans="2:4" ht="15.75" customHeight="1" x14ac:dyDescent="0.25">
      <c r="B165" s="3"/>
      <c r="C165" s="3"/>
      <c r="D165" s="3"/>
    </row>
    <row r="166" spans="2:4" ht="15.75" customHeight="1" x14ac:dyDescent="0.25">
      <c r="B166" s="3"/>
      <c r="C166" s="3"/>
      <c r="D166" s="3"/>
    </row>
    <row r="167" spans="2:4" ht="15.75" customHeight="1" x14ac:dyDescent="0.25">
      <c r="B167" s="3"/>
      <c r="C167" s="3"/>
      <c r="D167" s="3"/>
    </row>
    <row r="168" spans="2:4" ht="15.75" customHeight="1" x14ac:dyDescent="0.25">
      <c r="B168" s="3"/>
      <c r="C168" s="3"/>
      <c r="D168" s="3"/>
    </row>
    <row r="169" spans="2:4" ht="15.75" customHeight="1" x14ac:dyDescent="0.25">
      <c r="B169" s="3"/>
      <c r="C169" s="3"/>
      <c r="D169" s="3"/>
    </row>
    <row r="170" spans="2:4" ht="15.75" customHeight="1" x14ac:dyDescent="0.25">
      <c r="B170" s="3"/>
      <c r="C170" s="3"/>
      <c r="D170" s="3"/>
    </row>
    <row r="171" spans="2:4" ht="15.75" customHeight="1" x14ac:dyDescent="0.25">
      <c r="B171" s="3"/>
      <c r="C171" s="3"/>
      <c r="D171" s="3"/>
    </row>
    <row r="172" spans="2:4" ht="15.75" customHeight="1" x14ac:dyDescent="0.25">
      <c r="B172" s="3"/>
      <c r="C172" s="3"/>
      <c r="D172" s="3"/>
    </row>
    <row r="173" spans="2:4" ht="15.75" customHeight="1" x14ac:dyDescent="0.25">
      <c r="B173" s="3"/>
      <c r="C173" s="3"/>
      <c r="D173" s="3"/>
    </row>
    <row r="174" spans="2:4" ht="15.75" customHeight="1" x14ac:dyDescent="0.25">
      <c r="B174" s="3"/>
      <c r="C174" s="3"/>
      <c r="D174" s="3"/>
    </row>
    <row r="175" spans="2:4" ht="15.75" customHeight="1" x14ac:dyDescent="0.25">
      <c r="B175" s="3"/>
      <c r="C175" s="3"/>
      <c r="D175" s="3"/>
    </row>
    <row r="176" spans="2:4" ht="15.75" customHeight="1" x14ac:dyDescent="0.25">
      <c r="B176" s="3"/>
      <c r="C176" s="3"/>
      <c r="D176" s="3"/>
    </row>
    <row r="177" spans="2:4" ht="15.75" customHeight="1" x14ac:dyDescent="0.25">
      <c r="B177" s="3"/>
      <c r="C177" s="3"/>
      <c r="D177" s="3"/>
    </row>
    <row r="178" spans="2:4" ht="15.75" customHeight="1" x14ac:dyDescent="0.25">
      <c r="B178" s="3"/>
      <c r="C178" s="3"/>
      <c r="D178" s="3"/>
    </row>
    <row r="179" spans="2:4" ht="15.75" customHeight="1" x14ac:dyDescent="0.25">
      <c r="B179" s="3"/>
      <c r="C179" s="3"/>
      <c r="D179" s="3"/>
    </row>
    <row r="180" spans="2:4" ht="15.75" customHeight="1" x14ac:dyDescent="0.25">
      <c r="B180" s="3"/>
      <c r="C180" s="3"/>
      <c r="D180" s="3"/>
    </row>
    <row r="181" spans="2:4" ht="15.75" customHeight="1" x14ac:dyDescent="0.25">
      <c r="B181" s="3"/>
      <c r="C181" s="3"/>
      <c r="D181" s="3"/>
    </row>
    <row r="182" spans="2:4" ht="15.75" customHeight="1" x14ac:dyDescent="0.25">
      <c r="B182" s="3"/>
      <c r="C182" s="3"/>
      <c r="D182" s="3"/>
    </row>
    <row r="183" spans="2:4" ht="15.75" customHeight="1" x14ac:dyDescent="0.25">
      <c r="B183" s="3"/>
      <c r="C183" s="3"/>
      <c r="D183" s="3"/>
    </row>
    <row r="184" spans="2:4" ht="15.75" customHeight="1" x14ac:dyDescent="0.25">
      <c r="B184" s="3"/>
      <c r="C184" s="3"/>
      <c r="D184" s="3"/>
    </row>
    <row r="185" spans="2:4" ht="15.75" customHeight="1" x14ac:dyDescent="0.25">
      <c r="B185" s="3"/>
      <c r="C185" s="3"/>
      <c r="D185" s="3"/>
    </row>
    <row r="186" spans="2:4" ht="15.75" customHeight="1" x14ac:dyDescent="0.25">
      <c r="B186" s="3"/>
      <c r="C186" s="3"/>
      <c r="D186" s="3"/>
    </row>
    <row r="187" spans="2:4" ht="15.75" customHeight="1" x14ac:dyDescent="0.25">
      <c r="B187" s="3"/>
      <c r="C187" s="3"/>
      <c r="D187" s="3"/>
    </row>
    <row r="188" spans="2:4" ht="15.75" customHeight="1" x14ac:dyDescent="0.25">
      <c r="B188" s="3"/>
      <c r="C188" s="3"/>
      <c r="D188" s="3"/>
    </row>
    <row r="189" spans="2:4" ht="15.75" customHeight="1" x14ac:dyDescent="0.25">
      <c r="B189" s="3"/>
      <c r="C189" s="3"/>
      <c r="D189" s="3"/>
    </row>
    <row r="190" spans="2:4" ht="15.75" customHeight="1" x14ac:dyDescent="0.25">
      <c r="B190" s="3"/>
      <c r="C190" s="3"/>
      <c r="D190" s="3"/>
    </row>
    <row r="191" spans="2:4" ht="15.75" customHeight="1" x14ac:dyDescent="0.25">
      <c r="B191" s="3"/>
      <c r="C191" s="3"/>
      <c r="D191" s="3"/>
    </row>
    <row r="192" spans="2:4" ht="15.75" customHeight="1" x14ac:dyDescent="0.25">
      <c r="B192" s="3"/>
      <c r="C192" s="3"/>
      <c r="D192" s="3"/>
    </row>
    <row r="193" spans="2:4" ht="15.75" customHeight="1" x14ac:dyDescent="0.25">
      <c r="B193" s="3"/>
      <c r="C193" s="3"/>
      <c r="D193" s="3"/>
    </row>
    <row r="194" spans="2:4" ht="15.75" customHeight="1" x14ac:dyDescent="0.25">
      <c r="B194" s="3"/>
      <c r="C194" s="3"/>
      <c r="D194" s="3"/>
    </row>
    <row r="195" spans="2:4" ht="15.75" customHeight="1" x14ac:dyDescent="0.25">
      <c r="B195" s="3"/>
      <c r="C195" s="3"/>
      <c r="D195" s="3"/>
    </row>
    <row r="196" spans="2:4" ht="15.75" customHeight="1" x14ac:dyDescent="0.25">
      <c r="B196" s="3"/>
      <c r="C196" s="3"/>
      <c r="D196" s="3"/>
    </row>
    <row r="197" spans="2:4" ht="15.75" customHeight="1" x14ac:dyDescent="0.25">
      <c r="B197" s="3"/>
      <c r="C197" s="3"/>
      <c r="D197" s="3"/>
    </row>
    <row r="198" spans="2:4" ht="15.75" customHeight="1" x14ac:dyDescent="0.25">
      <c r="B198" s="3"/>
      <c r="C198" s="3"/>
      <c r="D198" s="3"/>
    </row>
    <row r="199" spans="2:4" ht="15.75" customHeight="1" x14ac:dyDescent="0.25">
      <c r="B199" s="3"/>
      <c r="C199" s="3"/>
      <c r="D199" s="3"/>
    </row>
    <row r="200" spans="2:4" ht="15.75" customHeight="1" x14ac:dyDescent="0.25">
      <c r="B200" s="3"/>
      <c r="C200" s="3"/>
      <c r="D200" s="3"/>
    </row>
    <row r="201" spans="2:4" ht="15.75" customHeight="1" x14ac:dyDescent="0.25">
      <c r="B201" s="3"/>
      <c r="C201" s="3"/>
      <c r="D201" s="3"/>
    </row>
    <row r="202" spans="2:4" ht="15.75" customHeight="1" x14ac:dyDescent="0.25">
      <c r="B202" s="3"/>
      <c r="C202" s="3"/>
      <c r="D202" s="3"/>
    </row>
    <row r="203" spans="2:4" ht="15.75" customHeight="1" x14ac:dyDescent="0.25">
      <c r="B203" s="3"/>
      <c r="C203" s="3"/>
      <c r="D203" s="3"/>
    </row>
    <row r="204" spans="2:4" ht="15.75" customHeight="1" x14ac:dyDescent="0.25">
      <c r="B204" s="3"/>
      <c r="C204" s="3"/>
      <c r="D204" s="3"/>
    </row>
    <row r="205" spans="2:4" ht="15.75" customHeight="1" x14ac:dyDescent="0.25">
      <c r="B205" s="3"/>
      <c r="C205" s="3"/>
      <c r="D205" s="3"/>
    </row>
    <row r="206" spans="2:4" ht="15.75" customHeight="1" x14ac:dyDescent="0.25">
      <c r="B206" s="3"/>
      <c r="C206" s="3"/>
      <c r="D206" s="3"/>
    </row>
    <row r="207" spans="2:4" ht="15.75" customHeight="1" x14ac:dyDescent="0.25">
      <c r="B207" s="3"/>
      <c r="C207" s="3"/>
      <c r="D207" s="3"/>
    </row>
    <row r="208" spans="2:4" ht="15.75" customHeight="1" x14ac:dyDescent="0.25">
      <c r="B208" s="3"/>
      <c r="C208" s="3"/>
      <c r="D208" s="3"/>
    </row>
    <row r="209" spans="2:4" ht="15.75" customHeight="1" x14ac:dyDescent="0.25">
      <c r="B209" s="3"/>
      <c r="C209" s="3"/>
      <c r="D209" s="3"/>
    </row>
    <row r="210" spans="2:4" ht="15.75" customHeight="1" x14ac:dyDescent="0.25">
      <c r="B210" s="3"/>
      <c r="C210" s="3"/>
      <c r="D210" s="3"/>
    </row>
    <row r="211" spans="2:4" ht="15.75" customHeight="1" x14ac:dyDescent="0.25">
      <c r="B211" s="3"/>
      <c r="C211" s="3"/>
      <c r="D211" s="3"/>
    </row>
    <row r="212" spans="2:4" ht="15.75" customHeight="1" x14ac:dyDescent="0.25">
      <c r="B212" s="3"/>
      <c r="C212" s="3"/>
      <c r="D212" s="3"/>
    </row>
    <row r="213" spans="2:4" ht="15.75" customHeight="1" x14ac:dyDescent="0.25">
      <c r="B213" s="3"/>
      <c r="C213" s="3"/>
      <c r="D213" s="3"/>
    </row>
    <row r="214" spans="2:4" ht="15.75" customHeight="1" x14ac:dyDescent="0.25">
      <c r="B214" s="3"/>
      <c r="C214" s="3"/>
      <c r="D214" s="3"/>
    </row>
    <row r="215" spans="2:4" ht="15.75" customHeight="1" x14ac:dyDescent="0.25">
      <c r="B215" s="3"/>
      <c r="C215" s="3"/>
      <c r="D215" s="3"/>
    </row>
    <row r="216" spans="2:4" ht="15.75" customHeight="1" x14ac:dyDescent="0.25">
      <c r="B216" s="3"/>
      <c r="C216" s="3"/>
      <c r="D216" s="3"/>
    </row>
    <row r="217" spans="2:4" ht="15.75" customHeight="1" x14ac:dyDescent="0.25">
      <c r="B217" s="3"/>
      <c r="C217" s="3"/>
      <c r="D217" s="3"/>
    </row>
    <row r="218" spans="2:4" ht="15.75" customHeight="1" x14ac:dyDescent="0.25">
      <c r="B218" s="3"/>
      <c r="C218" s="3"/>
      <c r="D218" s="3"/>
    </row>
    <row r="219" spans="2:4" ht="15.75" customHeight="1" x14ac:dyDescent="0.25">
      <c r="B219" s="3"/>
      <c r="C219" s="3"/>
      <c r="D219" s="3"/>
    </row>
    <row r="220" spans="2:4" ht="15.75" customHeight="1" x14ac:dyDescent="0.25">
      <c r="B220" s="3"/>
      <c r="C220" s="3"/>
      <c r="D220" s="3"/>
    </row>
    <row r="221" spans="2:4" ht="15.75" customHeight="1" x14ac:dyDescent="0.25">
      <c r="B221" s="3"/>
      <c r="C221" s="3"/>
      <c r="D221" s="3"/>
    </row>
    <row r="222" spans="2:4" ht="15.75" customHeight="1" x14ac:dyDescent="0.25">
      <c r="B222" s="3"/>
      <c r="C222" s="3"/>
      <c r="D222" s="3"/>
    </row>
    <row r="223" spans="2:4" ht="15.75" customHeight="1" x14ac:dyDescent="0.25">
      <c r="B223" s="3"/>
      <c r="C223" s="3"/>
      <c r="D223" s="3"/>
    </row>
    <row r="224" spans="2:4" ht="15.75" customHeight="1" x14ac:dyDescent="0.25">
      <c r="B224" s="3"/>
      <c r="C224" s="3"/>
      <c r="D224" s="3"/>
    </row>
    <row r="225" spans="2:4" ht="15.75" customHeight="1" x14ac:dyDescent="0.25">
      <c r="B225" s="3"/>
      <c r="C225" s="3"/>
      <c r="D225" s="3"/>
    </row>
    <row r="226" spans="2:4" ht="15.75" customHeight="1" x14ac:dyDescent="0.25">
      <c r="B226" s="3"/>
      <c r="C226" s="3"/>
      <c r="D226" s="3"/>
    </row>
    <row r="227" spans="2:4" ht="15.75" customHeight="1" x14ac:dyDescent="0.25">
      <c r="B227" s="3"/>
      <c r="C227" s="3"/>
      <c r="D227" s="3"/>
    </row>
    <row r="228" spans="2:4" ht="15.75" customHeight="1" x14ac:dyDescent="0.25">
      <c r="B228" s="3"/>
      <c r="C228" s="3"/>
      <c r="D228" s="3"/>
    </row>
    <row r="229" spans="2:4" ht="15.75" customHeight="1" x14ac:dyDescent="0.25">
      <c r="B229" s="3"/>
      <c r="C229" s="3"/>
      <c r="D229" s="3"/>
    </row>
    <row r="230" spans="2:4" ht="15.75" customHeight="1" x14ac:dyDescent="0.25">
      <c r="B230" s="3"/>
      <c r="C230" s="3"/>
      <c r="D230" s="3"/>
    </row>
    <row r="231" spans="2:4" ht="15.75" customHeight="1" x14ac:dyDescent="0.25">
      <c r="B231" s="3"/>
      <c r="C231" s="3"/>
      <c r="D231" s="3"/>
    </row>
    <row r="232" spans="2:4" ht="15.75" customHeight="1" x14ac:dyDescent="0.25">
      <c r="B232" s="3"/>
      <c r="C232" s="3"/>
      <c r="D232" s="3"/>
    </row>
    <row r="233" spans="2:4" ht="15.75" customHeight="1" x14ac:dyDescent="0.25">
      <c r="B233" s="3"/>
      <c r="C233" s="3"/>
      <c r="D233" s="3"/>
    </row>
    <row r="234" spans="2:4" ht="15.75" customHeight="1" x14ac:dyDescent="0.25">
      <c r="B234" s="3"/>
      <c r="C234" s="3"/>
      <c r="D234" s="3"/>
    </row>
    <row r="235" spans="2:4" ht="15.75" customHeight="1" x14ac:dyDescent="0.25">
      <c r="B235" s="3"/>
      <c r="C235" s="3"/>
      <c r="D235" s="3"/>
    </row>
    <row r="236" spans="2:4" ht="15.75" customHeight="1" x14ac:dyDescent="0.25"/>
    <row r="237" spans="2:4" ht="15.75" customHeight="1" x14ac:dyDescent="0.25"/>
    <row r="238" spans="2:4" ht="15.75" customHeight="1" x14ac:dyDescent="0.25"/>
    <row r="239" spans="2:4" ht="15.75" customHeight="1" x14ac:dyDescent="0.25"/>
    <row r="240" spans="2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workbookViewId="0">
      <selection activeCell="K8" sqref="K8"/>
    </sheetView>
  </sheetViews>
  <sheetFormatPr baseColWidth="10" defaultRowHeight="15" x14ac:dyDescent="0.25"/>
  <cols>
    <col min="22" max="22" width="16.28515625" customWidth="1"/>
    <col min="26" max="26" width="16" customWidth="1"/>
  </cols>
  <sheetData>
    <row r="1" spans="1:24" x14ac:dyDescent="0.25">
      <c r="B1" s="3"/>
      <c r="C1" s="3"/>
      <c r="D1" s="3"/>
      <c r="V1" s="2"/>
      <c r="W1" s="2"/>
      <c r="X1" s="2"/>
    </row>
    <row r="2" spans="1:24" x14ac:dyDescent="0.25">
      <c r="B2" s="3"/>
      <c r="C2" s="3"/>
      <c r="D2" s="3"/>
      <c r="I2" s="29" t="s">
        <v>43</v>
      </c>
      <c r="J2" s="2"/>
      <c r="K2" s="2"/>
      <c r="L2" s="29" t="s">
        <v>44</v>
      </c>
      <c r="M2" s="2"/>
      <c r="N2" s="2"/>
      <c r="O2" s="29" t="s">
        <v>45</v>
      </c>
      <c r="P2" s="2"/>
      <c r="Q2" s="2"/>
      <c r="R2" s="29" t="s">
        <v>46</v>
      </c>
      <c r="T2" s="29" t="s">
        <v>42</v>
      </c>
      <c r="V2" s="2"/>
      <c r="W2" s="2"/>
      <c r="X2" s="2"/>
    </row>
    <row r="3" spans="1:24" x14ac:dyDescent="0.25">
      <c r="A3" s="8" t="s">
        <v>5</v>
      </c>
      <c r="B3" s="8" t="s">
        <v>6</v>
      </c>
      <c r="C3" s="8" t="s">
        <v>7</v>
      </c>
      <c r="D3" s="8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41" t="s">
        <v>41</v>
      </c>
      <c r="K3" s="11" t="s">
        <v>13</v>
      </c>
      <c r="L3" s="10" t="s">
        <v>12</v>
      </c>
      <c r="M3" s="41" t="s">
        <v>41</v>
      </c>
      <c r="N3" s="11" t="s">
        <v>13</v>
      </c>
      <c r="O3" s="10" t="s">
        <v>12</v>
      </c>
      <c r="P3" s="41" t="s">
        <v>41</v>
      </c>
      <c r="Q3" s="11" t="s">
        <v>13</v>
      </c>
      <c r="R3" s="10" t="s">
        <v>12</v>
      </c>
      <c r="S3" s="11" t="s">
        <v>13</v>
      </c>
      <c r="T3" s="11" t="s">
        <v>13</v>
      </c>
      <c r="V3" s="2"/>
      <c r="W3" s="2"/>
    </row>
    <row r="4" spans="1:24" x14ac:dyDescent="0.25">
      <c r="A4" s="12" t="s">
        <v>14</v>
      </c>
      <c r="B4" s="12">
        <v>3527</v>
      </c>
      <c r="C4" s="12">
        <v>917</v>
      </c>
      <c r="D4" s="12">
        <v>1581</v>
      </c>
      <c r="E4" s="47">
        <f>CUENTAS!B16</f>
        <v>882</v>
      </c>
      <c r="F4" s="13">
        <f>CUENTAS!B17</f>
        <v>630</v>
      </c>
      <c r="G4" s="13">
        <f t="shared" ref="G4:G16" si="0">SUM(B4:F4)</f>
        <v>7537</v>
      </c>
      <c r="I4" s="14">
        <f>B4/5</f>
        <v>705.4</v>
      </c>
      <c r="J4" s="14">
        <f>B4/5</f>
        <v>705.4</v>
      </c>
      <c r="K4" s="14">
        <f>B4/5</f>
        <v>705.4</v>
      </c>
      <c r="L4" s="14">
        <f>C4/4</f>
        <v>229.25</v>
      </c>
      <c r="M4" s="14">
        <f>C4/4</f>
        <v>229.25</v>
      </c>
      <c r="N4" s="14">
        <f>C4/4</f>
        <v>229.25</v>
      </c>
      <c r="O4" s="14">
        <f>D4/4</f>
        <v>395.25</v>
      </c>
      <c r="P4" s="14">
        <f>D4/4</f>
        <v>395.25</v>
      </c>
      <c r="Q4" s="14">
        <f>D4/4</f>
        <v>395.25</v>
      </c>
      <c r="R4" s="14">
        <f>E4/4</f>
        <v>220.5</v>
      </c>
      <c r="S4" s="14">
        <f>E4/4</f>
        <v>220.5</v>
      </c>
      <c r="T4" s="14">
        <f>F4/4</f>
        <v>157.5</v>
      </c>
      <c r="V4" s="2"/>
      <c r="W4" s="2"/>
    </row>
    <row r="5" spans="1:24" x14ac:dyDescent="0.25">
      <c r="A5" s="12" t="s">
        <v>17</v>
      </c>
      <c r="B5" s="12">
        <v>4492</v>
      </c>
      <c r="C5" s="12">
        <v>1256</v>
      </c>
      <c r="D5" s="12">
        <v>1581</v>
      </c>
      <c r="E5" s="47">
        <f>CUENTAS!B16</f>
        <v>882</v>
      </c>
      <c r="F5" s="13">
        <f>CUENTAS!B17</f>
        <v>630</v>
      </c>
      <c r="G5" s="13">
        <f t="shared" si="0"/>
        <v>8841</v>
      </c>
      <c r="I5" s="14">
        <f t="shared" ref="I5:I9" si="1">B5/5</f>
        <v>898.4</v>
      </c>
      <c r="J5" s="14">
        <f t="shared" ref="J5:J9" si="2">B5/5</f>
        <v>898.4</v>
      </c>
      <c r="K5" s="14">
        <f t="shared" ref="K5:K15" si="3">B5/5</f>
        <v>898.4</v>
      </c>
      <c r="L5" s="14">
        <f t="shared" ref="L5:L15" si="4">C5/4</f>
        <v>314</v>
      </c>
      <c r="M5" s="14">
        <f t="shared" ref="M5:M15" si="5">C5/4</f>
        <v>314</v>
      </c>
      <c r="N5" s="14">
        <f t="shared" ref="N5:N15" si="6">C5/4</f>
        <v>314</v>
      </c>
      <c r="O5" s="14">
        <f t="shared" ref="O5:O15" si="7">D5/4</f>
        <v>395.25</v>
      </c>
      <c r="P5" s="14">
        <f t="shared" ref="P5:P15" si="8">D5/4</f>
        <v>395.25</v>
      </c>
      <c r="Q5" s="14">
        <f t="shared" ref="Q5:Q15" si="9">D5/4</f>
        <v>395.25</v>
      </c>
      <c r="R5" s="14">
        <f t="shared" ref="R5:R15" si="10">E5/4</f>
        <v>220.5</v>
      </c>
      <c r="S5" s="14">
        <f t="shared" ref="S5:S15" si="11">E5/4</f>
        <v>220.5</v>
      </c>
      <c r="T5" s="14">
        <f t="shared" ref="T5:T15" si="12">F5/4</f>
        <v>157.5</v>
      </c>
      <c r="V5" s="2"/>
      <c r="W5" s="2"/>
      <c r="X5" s="2"/>
    </row>
    <row r="6" spans="1:24" x14ac:dyDescent="0.25">
      <c r="A6" s="12" t="s">
        <v>19</v>
      </c>
      <c r="B6" s="12">
        <v>4745</v>
      </c>
      <c r="C6" s="12">
        <v>1256</v>
      </c>
      <c r="D6" s="12">
        <v>1539</v>
      </c>
      <c r="E6" s="47">
        <f>CUENTAS!B16</f>
        <v>882</v>
      </c>
      <c r="F6" s="13">
        <f>CUENTAS!B17</f>
        <v>630</v>
      </c>
      <c r="G6" s="13">
        <f t="shared" si="0"/>
        <v>9052</v>
      </c>
      <c r="I6" s="14">
        <f t="shared" si="1"/>
        <v>949</v>
      </c>
      <c r="J6" s="14">
        <f t="shared" si="2"/>
        <v>949</v>
      </c>
      <c r="K6" s="14">
        <f t="shared" si="3"/>
        <v>949</v>
      </c>
      <c r="L6" s="14">
        <f t="shared" si="4"/>
        <v>314</v>
      </c>
      <c r="M6" s="14">
        <f t="shared" si="5"/>
        <v>314</v>
      </c>
      <c r="N6" s="14">
        <f t="shared" si="6"/>
        <v>314</v>
      </c>
      <c r="O6" s="14">
        <f t="shared" si="7"/>
        <v>384.75</v>
      </c>
      <c r="P6" s="14">
        <f t="shared" si="8"/>
        <v>384.75</v>
      </c>
      <c r="Q6" s="14">
        <f t="shared" si="9"/>
        <v>384.75</v>
      </c>
      <c r="R6" s="14">
        <f t="shared" si="10"/>
        <v>220.5</v>
      </c>
      <c r="S6" s="14">
        <f t="shared" si="11"/>
        <v>220.5</v>
      </c>
      <c r="T6" s="14">
        <f t="shared" si="12"/>
        <v>157.5</v>
      </c>
      <c r="V6" s="2"/>
      <c r="W6" s="2"/>
      <c r="X6" s="2"/>
    </row>
    <row r="7" spans="1:24" x14ac:dyDescent="0.25">
      <c r="A7" s="12" t="s">
        <v>20</v>
      </c>
      <c r="B7" s="12">
        <v>4258</v>
      </c>
      <c r="C7" s="12">
        <v>917</v>
      </c>
      <c r="D7" s="12">
        <v>1553</v>
      </c>
      <c r="E7" s="47">
        <f>CUENTAS!B16</f>
        <v>882</v>
      </c>
      <c r="F7" s="13">
        <f>CUENTAS!B17</f>
        <v>630</v>
      </c>
      <c r="G7" s="13">
        <f t="shared" si="0"/>
        <v>8240</v>
      </c>
      <c r="I7" s="14">
        <f t="shared" si="1"/>
        <v>851.6</v>
      </c>
      <c r="J7" s="14">
        <f t="shared" si="2"/>
        <v>851.6</v>
      </c>
      <c r="K7" s="14">
        <f t="shared" si="3"/>
        <v>851.6</v>
      </c>
      <c r="L7" s="14">
        <f t="shared" si="4"/>
        <v>229.25</v>
      </c>
      <c r="M7" s="14">
        <f t="shared" si="5"/>
        <v>229.25</v>
      </c>
      <c r="N7" s="14">
        <f t="shared" si="6"/>
        <v>229.25</v>
      </c>
      <c r="O7" s="14">
        <f t="shared" si="7"/>
        <v>388.25</v>
      </c>
      <c r="P7" s="14">
        <f t="shared" si="8"/>
        <v>388.25</v>
      </c>
      <c r="Q7" s="14">
        <f t="shared" si="9"/>
        <v>388.25</v>
      </c>
      <c r="R7" s="14">
        <f t="shared" si="10"/>
        <v>220.5</v>
      </c>
      <c r="S7" s="14">
        <f t="shared" si="11"/>
        <v>220.5</v>
      </c>
      <c r="T7" s="14">
        <f t="shared" si="12"/>
        <v>157.5</v>
      </c>
      <c r="V7" s="2"/>
      <c r="W7" s="2"/>
      <c r="X7" s="2"/>
    </row>
    <row r="8" spans="1:24" x14ac:dyDescent="0.25">
      <c r="A8" s="12" t="s">
        <v>21</v>
      </c>
      <c r="B8" s="12">
        <v>5617</v>
      </c>
      <c r="C8" s="12">
        <v>947</v>
      </c>
      <c r="D8" s="12">
        <v>1519</v>
      </c>
      <c r="E8" s="47">
        <f>CUENTAS!B16</f>
        <v>882</v>
      </c>
      <c r="F8" s="13">
        <f>CUENTAS!B17</f>
        <v>630</v>
      </c>
      <c r="G8" s="13">
        <f t="shared" si="0"/>
        <v>9595</v>
      </c>
      <c r="I8" s="14">
        <f t="shared" si="1"/>
        <v>1123.4000000000001</v>
      </c>
      <c r="J8" s="14">
        <f t="shared" si="2"/>
        <v>1123.4000000000001</v>
      </c>
      <c r="K8" s="14">
        <f t="shared" si="3"/>
        <v>1123.4000000000001</v>
      </c>
      <c r="L8" s="14">
        <f t="shared" si="4"/>
        <v>236.75</v>
      </c>
      <c r="M8" s="14">
        <f t="shared" si="5"/>
        <v>236.75</v>
      </c>
      <c r="N8" s="14">
        <f t="shared" si="6"/>
        <v>236.75</v>
      </c>
      <c r="O8" s="14">
        <f t="shared" si="7"/>
        <v>379.75</v>
      </c>
      <c r="P8" s="14">
        <f t="shared" si="8"/>
        <v>379.75</v>
      </c>
      <c r="Q8" s="14">
        <f t="shared" si="9"/>
        <v>379.75</v>
      </c>
      <c r="R8" s="14">
        <f t="shared" si="10"/>
        <v>220.5</v>
      </c>
      <c r="S8" s="14">
        <f t="shared" si="11"/>
        <v>220.5</v>
      </c>
      <c r="T8" s="14">
        <f t="shared" si="12"/>
        <v>157.5</v>
      </c>
      <c r="V8" s="2"/>
      <c r="W8" s="2"/>
      <c r="X8" s="2"/>
    </row>
    <row r="9" spans="1:24" x14ac:dyDescent="0.25">
      <c r="A9" s="12" t="s">
        <v>22</v>
      </c>
      <c r="B9" s="12">
        <v>6065</v>
      </c>
      <c r="C9" s="12">
        <v>1015</v>
      </c>
      <c r="D9" s="12">
        <v>1678</v>
      </c>
      <c r="E9" s="47">
        <f>CUENTAS!B16</f>
        <v>882</v>
      </c>
      <c r="F9" s="13">
        <f>CUENTAS!B17</f>
        <v>630</v>
      </c>
      <c r="G9" s="13">
        <f t="shared" si="0"/>
        <v>10270</v>
      </c>
      <c r="I9" s="51">
        <f t="shared" si="1"/>
        <v>1213</v>
      </c>
      <c r="J9" s="51">
        <f t="shared" si="2"/>
        <v>1213</v>
      </c>
      <c r="K9" s="51">
        <f t="shared" si="3"/>
        <v>1213</v>
      </c>
      <c r="L9" s="14">
        <f t="shared" si="4"/>
        <v>253.75</v>
      </c>
      <c r="M9" s="14">
        <f t="shared" si="5"/>
        <v>253.75</v>
      </c>
      <c r="N9" s="14">
        <f t="shared" si="6"/>
        <v>253.75</v>
      </c>
      <c r="O9" s="14">
        <f t="shared" si="7"/>
        <v>419.5</v>
      </c>
      <c r="P9" s="14">
        <f t="shared" si="8"/>
        <v>419.5</v>
      </c>
      <c r="Q9" s="14">
        <f t="shared" si="9"/>
        <v>419.5</v>
      </c>
      <c r="R9" s="14">
        <f t="shared" si="10"/>
        <v>220.5</v>
      </c>
      <c r="S9" s="14">
        <f t="shared" si="11"/>
        <v>220.5</v>
      </c>
      <c r="T9" s="14">
        <f t="shared" si="12"/>
        <v>157.5</v>
      </c>
      <c r="V9" s="2"/>
      <c r="W9" s="2"/>
      <c r="X9" s="2"/>
    </row>
    <row r="10" spans="1:24" x14ac:dyDescent="0.25">
      <c r="A10" s="12" t="s">
        <v>23</v>
      </c>
      <c r="B10" s="12">
        <v>5890</v>
      </c>
      <c r="C10" s="12">
        <v>1015</v>
      </c>
      <c r="D10" s="12">
        <v>1678</v>
      </c>
      <c r="E10" s="47">
        <f>CUENTAS!B16</f>
        <v>882</v>
      </c>
      <c r="F10" s="13">
        <f>CUENTAS!B17</f>
        <v>630</v>
      </c>
      <c r="G10" s="13">
        <f t="shared" si="0"/>
        <v>10095</v>
      </c>
      <c r="I10" s="14">
        <v>1100</v>
      </c>
      <c r="J10" s="14">
        <v>1100</v>
      </c>
      <c r="K10" s="14">
        <v>1230</v>
      </c>
      <c r="L10" s="14">
        <f t="shared" si="4"/>
        <v>253.75</v>
      </c>
      <c r="M10" s="14">
        <f t="shared" si="5"/>
        <v>253.75</v>
      </c>
      <c r="N10" s="14">
        <f t="shared" si="6"/>
        <v>253.75</v>
      </c>
      <c r="O10" s="14">
        <f t="shared" si="7"/>
        <v>419.5</v>
      </c>
      <c r="P10" s="14">
        <f t="shared" si="8"/>
        <v>419.5</v>
      </c>
      <c r="Q10" s="14">
        <f t="shared" si="9"/>
        <v>419.5</v>
      </c>
      <c r="R10" s="14">
        <f t="shared" si="10"/>
        <v>220.5</v>
      </c>
      <c r="S10" s="14">
        <f t="shared" si="11"/>
        <v>220.5</v>
      </c>
      <c r="T10" s="14">
        <f t="shared" si="12"/>
        <v>157.5</v>
      </c>
      <c r="V10" s="2"/>
      <c r="W10" s="2"/>
      <c r="X10" s="2"/>
    </row>
    <row r="11" spans="1:24" x14ac:dyDescent="0.25">
      <c r="A11" s="12" t="s">
        <v>24</v>
      </c>
      <c r="B11" s="12">
        <v>6107</v>
      </c>
      <c r="C11" s="12">
        <v>1015</v>
      </c>
      <c r="D11" s="12">
        <v>1695</v>
      </c>
      <c r="E11" s="47">
        <f>CUENTAS!B16</f>
        <v>882</v>
      </c>
      <c r="F11" s="13">
        <f>CUENTAS!B17</f>
        <v>630</v>
      </c>
      <c r="G11" s="13">
        <f t="shared" si="0"/>
        <v>10329</v>
      </c>
      <c r="I11" s="14">
        <v>1100</v>
      </c>
      <c r="J11" s="14">
        <v>1100</v>
      </c>
      <c r="K11" s="14">
        <v>1339</v>
      </c>
      <c r="L11" s="14">
        <f t="shared" si="4"/>
        <v>253.75</v>
      </c>
      <c r="M11" s="14">
        <f t="shared" si="5"/>
        <v>253.75</v>
      </c>
      <c r="N11" s="14">
        <f t="shared" si="6"/>
        <v>253.75</v>
      </c>
      <c r="O11" s="14">
        <f t="shared" si="7"/>
        <v>423.75</v>
      </c>
      <c r="P11" s="14">
        <f t="shared" si="8"/>
        <v>423.75</v>
      </c>
      <c r="Q11" s="14">
        <f t="shared" si="9"/>
        <v>423.75</v>
      </c>
      <c r="R11" s="14">
        <f t="shared" si="10"/>
        <v>220.5</v>
      </c>
      <c r="S11" s="14">
        <f t="shared" si="11"/>
        <v>220.5</v>
      </c>
      <c r="T11" s="14">
        <f t="shared" si="12"/>
        <v>157.5</v>
      </c>
      <c r="V11" s="2"/>
      <c r="W11" s="2"/>
      <c r="X11" s="2"/>
    </row>
    <row r="12" spans="1:24" x14ac:dyDescent="0.25">
      <c r="A12" s="12" t="s">
        <v>26</v>
      </c>
      <c r="B12" s="12">
        <v>6445</v>
      </c>
      <c r="C12" s="12">
        <v>1015</v>
      </c>
      <c r="D12" s="12">
        <v>1682</v>
      </c>
      <c r="E12" s="47">
        <f>CUENTAS!B16</f>
        <v>882</v>
      </c>
      <c r="F12" s="13">
        <f>CUENTAS!B17</f>
        <v>630</v>
      </c>
      <c r="G12" s="13">
        <f t="shared" si="0"/>
        <v>10654</v>
      </c>
      <c r="I12" s="14">
        <v>1100</v>
      </c>
      <c r="J12" s="14">
        <v>1100</v>
      </c>
      <c r="K12" s="14">
        <f t="shared" si="3"/>
        <v>1289</v>
      </c>
      <c r="L12" s="14">
        <f t="shared" si="4"/>
        <v>253.75</v>
      </c>
      <c r="M12" s="14">
        <f t="shared" si="5"/>
        <v>253.75</v>
      </c>
      <c r="N12" s="14">
        <f t="shared" si="6"/>
        <v>253.75</v>
      </c>
      <c r="O12" s="14">
        <f t="shared" si="7"/>
        <v>420.5</v>
      </c>
      <c r="P12" s="14">
        <f t="shared" si="8"/>
        <v>420.5</v>
      </c>
      <c r="Q12" s="14">
        <f t="shared" si="9"/>
        <v>420.5</v>
      </c>
      <c r="R12" s="14">
        <f t="shared" si="10"/>
        <v>220.5</v>
      </c>
      <c r="S12" s="14">
        <f t="shared" si="11"/>
        <v>220.5</v>
      </c>
      <c r="T12" s="14">
        <f t="shared" si="12"/>
        <v>157.5</v>
      </c>
      <c r="V12" s="2"/>
      <c r="W12" s="2"/>
      <c r="X12" s="2"/>
    </row>
    <row r="13" spans="1:24" x14ac:dyDescent="0.25">
      <c r="A13" s="12" t="s">
        <v>27</v>
      </c>
      <c r="B13" s="12">
        <v>6396</v>
      </c>
      <c r="C13" s="12">
        <v>1390</v>
      </c>
      <c r="D13" s="12">
        <v>1690</v>
      </c>
      <c r="E13" s="47">
        <f>CUENTAS!B16</f>
        <v>882</v>
      </c>
      <c r="F13" s="13">
        <f>CUENTAS!B17</f>
        <v>630</v>
      </c>
      <c r="G13" s="13">
        <f t="shared" si="0"/>
        <v>10988</v>
      </c>
      <c r="I13" s="14">
        <v>1100</v>
      </c>
      <c r="J13" s="14">
        <v>1100</v>
      </c>
      <c r="K13" s="14">
        <f t="shared" si="3"/>
        <v>1279.2</v>
      </c>
      <c r="L13" s="14">
        <f t="shared" si="4"/>
        <v>347.5</v>
      </c>
      <c r="M13" s="14">
        <f t="shared" si="5"/>
        <v>347.5</v>
      </c>
      <c r="N13" s="14">
        <f t="shared" si="6"/>
        <v>347.5</v>
      </c>
      <c r="O13" s="14">
        <f t="shared" si="7"/>
        <v>422.5</v>
      </c>
      <c r="P13" s="14">
        <f t="shared" si="8"/>
        <v>422.5</v>
      </c>
      <c r="Q13" s="14">
        <f t="shared" si="9"/>
        <v>422.5</v>
      </c>
      <c r="R13" s="14">
        <f t="shared" si="10"/>
        <v>220.5</v>
      </c>
      <c r="S13" s="14">
        <f t="shared" si="11"/>
        <v>220.5</v>
      </c>
      <c r="T13" s="14">
        <f t="shared" si="12"/>
        <v>157.5</v>
      </c>
      <c r="V13" s="2"/>
      <c r="W13" s="2"/>
      <c r="X13" s="2"/>
    </row>
    <row r="14" spans="1:24" x14ac:dyDescent="0.25">
      <c r="A14" s="12" t="s">
        <v>28</v>
      </c>
      <c r="B14" s="12">
        <v>6154</v>
      </c>
      <c r="C14" s="12">
        <v>1390</v>
      </c>
      <c r="D14" s="12">
        <v>1684</v>
      </c>
      <c r="E14" s="47">
        <f>CUENTAS!B16</f>
        <v>882</v>
      </c>
      <c r="F14" s="13">
        <f>CUENTAS!B17</f>
        <v>630</v>
      </c>
      <c r="G14" s="13">
        <f t="shared" si="0"/>
        <v>10740</v>
      </c>
      <c r="I14" s="14">
        <v>1100</v>
      </c>
      <c r="J14" s="14">
        <v>1100</v>
      </c>
      <c r="K14" s="14">
        <v>1361</v>
      </c>
      <c r="L14" s="14">
        <f t="shared" si="4"/>
        <v>347.5</v>
      </c>
      <c r="M14" s="14">
        <f t="shared" si="5"/>
        <v>347.5</v>
      </c>
      <c r="N14" s="14">
        <f t="shared" si="6"/>
        <v>347.5</v>
      </c>
      <c r="O14" s="14">
        <f t="shared" si="7"/>
        <v>421</v>
      </c>
      <c r="P14" s="14">
        <f t="shared" si="8"/>
        <v>421</v>
      </c>
      <c r="Q14" s="14">
        <f t="shared" si="9"/>
        <v>421</v>
      </c>
      <c r="R14" s="14">
        <f t="shared" si="10"/>
        <v>220.5</v>
      </c>
      <c r="S14" s="14">
        <f t="shared" si="11"/>
        <v>220.5</v>
      </c>
      <c r="T14" s="14">
        <f t="shared" si="12"/>
        <v>157.5</v>
      </c>
      <c r="V14" s="2"/>
      <c r="W14" s="2"/>
      <c r="X14" s="2"/>
    </row>
    <row r="15" spans="1:24" x14ac:dyDescent="0.25">
      <c r="A15" s="12" t="s">
        <v>29</v>
      </c>
      <c r="B15" s="12">
        <v>5899</v>
      </c>
      <c r="C15" s="12">
        <v>1390</v>
      </c>
      <c r="D15" s="12">
        <v>1680</v>
      </c>
      <c r="E15" s="47">
        <f>CUENTAS!B16</f>
        <v>882</v>
      </c>
      <c r="F15" s="13">
        <f>CUENTAS!B17</f>
        <v>630</v>
      </c>
      <c r="G15" s="13">
        <f t="shared" si="0"/>
        <v>10481</v>
      </c>
      <c r="I15" s="14">
        <v>1100</v>
      </c>
      <c r="J15" s="14">
        <v>1100</v>
      </c>
      <c r="K15" s="14">
        <f t="shared" si="3"/>
        <v>1179.8</v>
      </c>
      <c r="L15" s="14">
        <f t="shared" si="4"/>
        <v>347.5</v>
      </c>
      <c r="M15" s="14">
        <f t="shared" si="5"/>
        <v>347.5</v>
      </c>
      <c r="N15" s="14">
        <f t="shared" si="6"/>
        <v>347.5</v>
      </c>
      <c r="O15" s="14">
        <f t="shared" si="7"/>
        <v>420</v>
      </c>
      <c r="P15" s="14">
        <f t="shared" si="8"/>
        <v>420</v>
      </c>
      <c r="Q15" s="14">
        <f t="shared" si="9"/>
        <v>420</v>
      </c>
      <c r="R15" s="14">
        <f t="shared" si="10"/>
        <v>220.5</v>
      </c>
      <c r="S15" s="14">
        <f t="shared" si="11"/>
        <v>220.5</v>
      </c>
      <c r="T15" s="14">
        <f t="shared" si="12"/>
        <v>157.5</v>
      </c>
      <c r="V15" s="2"/>
      <c r="W15" s="2"/>
      <c r="X15" s="2"/>
    </row>
    <row r="16" spans="1:24" x14ac:dyDescent="0.25">
      <c r="A16" s="9" t="s">
        <v>30</v>
      </c>
      <c r="B16" s="7">
        <f t="shared" ref="B16:F16" si="13">SUM(B4:B15)</f>
        <v>65595</v>
      </c>
      <c r="C16" s="7">
        <f t="shared" si="13"/>
        <v>13523</v>
      </c>
      <c r="D16" s="7">
        <f t="shared" si="13"/>
        <v>19560</v>
      </c>
      <c r="E16" s="7">
        <f t="shared" si="13"/>
        <v>10584</v>
      </c>
      <c r="F16" s="7">
        <f t="shared" si="13"/>
        <v>7560</v>
      </c>
      <c r="G16" s="22">
        <f t="shared" si="0"/>
        <v>116822</v>
      </c>
      <c r="V16" s="2"/>
      <c r="W16" s="2"/>
      <c r="X16" s="2"/>
    </row>
    <row r="17" spans="1:26" x14ac:dyDescent="0.25">
      <c r="B17" s="3"/>
      <c r="C17" s="3"/>
      <c r="D17" s="3"/>
      <c r="V17" s="2"/>
      <c r="W17" s="2"/>
      <c r="X17" s="2"/>
    </row>
    <row r="18" spans="1:26" x14ac:dyDescent="0.25">
      <c r="B18" s="3"/>
      <c r="C18" s="3"/>
      <c r="D18" s="3"/>
      <c r="V18" s="2"/>
      <c r="W18" s="2"/>
      <c r="X18" s="2"/>
    </row>
    <row r="19" spans="1:26" x14ac:dyDescent="0.25">
      <c r="B19" s="3"/>
      <c r="C19" s="3"/>
      <c r="D19" s="3"/>
      <c r="V19" s="2"/>
      <c r="W19" s="2"/>
      <c r="X19" s="2"/>
    </row>
    <row r="20" spans="1:26" x14ac:dyDescent="0.25">
      <c r="B20" s="3"/>
      <c r="C20" s="3"/>
      <c r="D20" s="3"/>
      <c r="V20" s="2"/>
      <c r="W20" s="2"/>
      <c r="X20" s="2"/>
    </row>
    <row r="21" spans="1:26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30"/>
      <c r="R21" s="28" t="s">
        <v>58</v>
      </c>
      <c r="S21" s="28" t="s">
        <v>48</v>
      </c>
      <c r="T21" s="28" t="s">
        <v>51</v>
      </c>
      <c r="W21" s="2"/>
    </row>
    <row r="22" spans="1:26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30">
        <v>1</v>
      </c>
      <c r="R22" s="40">
        <v>1065</v>
      </c>
      <c r="S22" s="31">
        <v>0</v>
      </c>
      <c r="T22" s="31">
        <v>84</v>
      </c>
      <c r="W22" s="2"/>
    </row>
    <row r="23" spans="1:26" x14ac:dyDescent="0.25">
      <c r="A23" s="12" t="s">
        <v>14</v>
      </c>
      <c r="B23" s="12">
        <f>SUM(I4,L4,O4,R4,N23)</f>
        <v>1550.4</v>
      </c>
      <c r="C23" s="12"/>
      <c r="D23" s="27">
        <f>SUM(B23,C23)</f>
        <v>1550.4</v>
      </c>
      <c r="F23" s="12" t="s">
        <v>14</v>
      </c>
      <c r="G23" s="12">
        <f>SUM(K4,N4,Q4,S4,T4,O23,S22,R22,T22)</f>
        <v>2856.9</v>
      </c>
      <c r="H23" s="14"/>
      <c r="I23" s="27">
        <f t="shared" ref="I23:I34" si="14">SUM(G23,H23)</f>
        <v>2856.9</v>
      </c>
      <c r="L23" s="12" t="s">
        <v>14</v>
      </c>
      <c r="M23" s="14">
        <f>SUM(H41)</f>
        <v>0</v>
      </c>
      <c r="N23" s="14">
        <v>0</v>
      </c>
      <c r="O23" s="14">
        <f t="shared" ref="O23:O32" si="15">M23/3</f>
        <v>0</v>
      </c>
      <c r="Q23" s="32">
        <v>2</v>
      </c>
      <c r="R23" s="40">
        <v>2764</v>
      </c>
      <c r="S23" s="31">
        <v>0</v>
      </c>
      <c r="T23" s="31">
        <v>84</v>
      </c>
      <c r="W23" s="2"/>
      <c r="X23" s="2"/>
      <c r="Y23" s="2"/>
      <c r="Z23" s="2"/>
    </row>
    <row r="24" spans="1:26" x14ac:dyDescent="0.25">
      <c r="A24" s="12" t="s">
        <v>17</v>
      </c>
      <c r="B24" s="12">
        <f t="shared" ref="B24:B34" si="16">SUM(I5,L5,O5,R5,N24)</f>
        <v>1828.15</v>
      </c>
      <c r="C24" s="12"/>
      <c r="D24" s="27">
        <f t="shared" ref="D24:D34" si="17">SUM(B24,C24)</f>
        <v>1828.15</v>
      </c>
      <c r="F24" s="12" t="s">
        <v>17</v>
      </c>
      <c r="G24" s="12">
        <f t="shared" ref="G24:G34" si="18">SUM(K5,N5,Q5,S5,T5,O24,S23,R23,T23)</f>
        <v>4833.6499999999996</v>
      </c>
      <c r="H24" s="14"/>
      <c r="I24" s="27">
        <f t="shared" si="14"/>
        <v>4833.6499999999996</v>
      </c>
      <c r="L24" s="12" t="s">
        <v>17</v>
      </c>
      <c r="M24" s="14">
        <f>SUM(H41)</f>
        <v>0</v>
      </c>
      <c r="N24" s="14">
        <v>0</v>
      </c>
      <c r="O24" s="14">
        <f t="shared" si="15"/>
        <v>0</v>
      </c>
      <c r="Q24" s="30">
        <v>3</v>
      </c>
      <c r="R24" s="40">
        <v>2325</v>
      </c>
      <c r="S24" s="31">
        <v>0</v>
      </c>
      <c r="T24" s="31">
        <v>84</v>
      </c>
      <c r="W24" s="2"/>
      <c r="X24" s="2"/>
      <c r="Y24" s="2"/>
      <c r="Z24" s="2"/>
    </row>
    <row r="25" spans="1:26" x14ac:dyDescent="0.25">
      <c r="A25" s="12" t="s">
        <v>19</v>
      </c>
      <c r="B25" s="12">
        <f t="shared" si="16"/>
        <v>1868.25</v>
      </c>
      <c r="C25" s="12"/>
      <c r="D25" s="27">
        <f t="shared" si="17"/>
        <v>1868.25</v>
      </c>
      <c r="F25" s="12" t="s">
        <v>19</v>
      </c>
      <c r="G25" s="12">
        <f t="shared" si="18"/>
        <v>4434.75</v>
      </c>
      <c r="H25" s="14"/>
      <c r="I25" s="27">
        <f t="shared" si="14"/>
        <v>4434.75</v>
      </c>
      <c r="L25" s="12" t="s">
        <v>19</v>
      </c>
      <c r="M25" s="14">
        <f>SUM(H41)</f>
        <v>0</v>
      </c>
      <c r="N25" s="14">
        <v>0</v>
      </c>
      <c r="O25" s="14">
        <f t="shared" si="15"/>
        <v>0</v>
      </c>
      <c r="Q25" s="30">
        <v>4</v>
      </c>
      <c r="R25" s="40">
        <v>2325</v>
      </c>
      <c r="S25" s="31">
        <v>0</v>
      </c>
      <c r="T25" s="31">
        <v>84</v>
      </c>
      <c r="W25" s="2"/>
      <c r="X25" s="2"/>
      <c r="Y25" s="2"/>
    </row>
    <row r="26" spans="1:26" x14ac:dyDescent="0.25">
      <c r="A26" s="12" t="s">
        <v>20</v>
      </c>
      <c r="B26" s="12">
        <f t="shared" si="16"/>
        <v>1689.6</v>
      </c>
      <c r="C26" s="12"/>
      <c r="D26" s="27">
        <f t="shared" si="17"/>
        <v>1689.6</v>
      </c>
      <c r="F26" s="12" t="s">
        <v>20</v>
      </c>
      <c r="G26" s="12">
        <f t="shared" si="18"/>
        <v>4256.1000000000004</v>
      </c>
      <c r="H26" s="14"/>
      <c r="I26" s="27">
        <f t="shared" si="14"/>
        <v>4256.1000000000004</v>
      </c>
      <c r="L26" s="12" t="s">
        <v>20</v>
      </c>
      <c r="M26" s="14">
        <f>SUM(H41)</f>
        <v>0</v>
      </c>
      <c r="N26" s="14">
        <v>0</v>
      </c>
      <c r="O26" s="14">
        <f t="shared" si="15"/>
        <v>0</v>
      </c>
      <c r="Q26" s="30">
        <v>5</v>
      </c>
      <c r="R26" s="40">
        <v>2325</v>
      </c>
      <c r="S26" s="31">
        <v>0</v>
      </c>
      <c r="T26" s="31">
        <v>84</v>
      </c>
      <c r="W26" s="2"/>
      <c r="X26" s="38"/>
      <c r="Y26" s="38"/>
    </row>
    <row r="27" spans="1:26" x14ac:dyDescent="0.25">
      <c r="A27" s="12" t="s">
        <v>21</v>
      </c>
      <c r="B27" s="12">
        <f>SUM(I8,L8,O8,R8,N27)</f>
        <v>1960.4</v>
      </c>
      <c r="C27" s="12"/>
      <c r="D27" s="27">
        <f t="shared" si="17"/>
        <v>1960.4</v>
      </c>
      <c r="F27" s="12" t="s">
        <v>21</v>
      </c>
      <c r="G27" s="12">
        <f t="shared" si="18"/>
        <v>4526.8999999999996</v>
      </c>
      <c r="H27" s="14"/>
      <c r="I27" s="27">
        <f t="shared" si="14"/>
        <v>4526.8999999999996</v>
      </c>
      <c r="L27" s="12" t="s">
        <v>21</v>
      </c>
      <c r="M27" s="14">
        <f>SUM(H41)</f>
        <v>0</v>
      </c>
      <c r="N27" s="14">
        <v>0</v>
      </c>
      <c r="O27" s="14">
        <f t="shared" si="15"/>
        <v>0</v>
      </c>
      <c r="Q27" s="30">
        <v>6</v>
      </c>
      <c r="R27" s="40">
        <v>2325</v>
      </c>
      <c r="S27" s="31">
        <v>0</v>
      </c>
      <c r="T27" s="31">
        <v>84</v>
      </c>
      <c r="W27" s="2"/>
      <c r="X27" s="2"/>
      <c r="Y27" s="38"/>
      <c r="Z27" s="39"/>
    </row>
    <row r="28" spans="1:26" x14ac:dyDescent="0.25">
      <c r="A28" s="12" t="s">
        <v>22</v>
      </c>
      <c r="B28" s="12">
        <f t="shared" si="16"/>
        <v>2106.75</v>
      </c>
      <c r="C28" s="12"/>
      <c r="D28" s="27">
        <f t="shared" si="17"/>
        <v>2106.75</v>
      </c>
      <c r="F28" s="12" t="s">
        <v>22</v>
      </c>
      <c r="G28" s="12">
        <f t="shared" si="18"/>
        <v>4673.25</v>
      </c>
      <c r="H28" s="14"/>
      <c r="I28" s="27">
        <f t="shared" si="14"/>
        <v>4673.25</v>
      </c>
      <c r="L28" s="12" t="s">
        <v>22</v>
      </c>
      <c r="M28" s="14">
        <f>SUM(H41)</f>
        <v>0</v>
      </c>
      <c r="N28" s="14">
        <v>0</v>
      </c>
      <c r="O28" s="14">
        <f t="shared" si="15"/>
        <v>0</v>
      </c>
      <c r="Q28" s="30">
        <v>7</v>
      </c>
      <c r="R28" s="40">
        <v>2325</v>
      </c>
      <c r="S28" s="31">
        <v>0</v>
      </c>
      <c r="T28" s="31">
        <v>84</v>
      </c>
      <c r="W28" s="2"/>
      <c r="X28" s="2"/>
      <c r="Y28" s="37"/>
    </row>
    <row r="29" spans="1:26" x14ac:dyDescent="0.25">
      <c r="A29" s="12" t="s">
        <v>23</v>
      </c>
      <c r="B29" s="12">
        <f>SUM(I10,L10,O10,R10,N29)</f>
        <v>1993.75</v>
      </c>
      <c r="C29" s="12"/>
      <c r="D29" s="27">
        <f t="shared" si="17"/>
        <v>1993.75</v>
      </c>
      <c r="F29" s="12" t="s">
        <v>23</v>
      </c>
      <c r="G29" s="12">
        <f t="shared" si="18"/>
        <v>4690.25</v>
      </c>
      <c r="H29" s="14"/>
      <c r="I29" s="27">
        <f t="shared" si="14"/>
        <v>4690.25</v>
      </c>
      <c r="L29" s="12" t="s">
        <v>23</v>
      </c>
      <c r="M29" s="14">
        <f>SUM(H41)</f>
        <v>0</v>
      </c>
      <c r="N29" s="14">
        <v>0</v>
      </c>
      <c r="O29" s="14">
        <f t="shared" si="15"/>
        <v>0</v>
      </c>
      <c r="Q29" s="30">
        <v>8</v>
      </c>
      <c r="R29" s="40">
        <v>1065</v>
      </c>
      <c r="S29" s="31">
        <v>0</v>
      </c>
      <c r="T29" s="31">
        <v>84</v>
      </c>
      <c r="W29" s="2"/>
      <c r="X29" s="2"/>
    </row>
    <row r="30" spans="1:26" x14ac:dyDescent="0.25">
      <c r="A30" s="12" t="s">
        <v>24</v>
      </c>
      <c r="B30" s="12">
        <f>SUM(I11,L11,O11,R11,N30)</f>
        <v>2178</v>
      </c>
      <c r="C30" s="12"/>
      <c r="D30" s="27">
        <f t="shared" si="17"/>
        <v>2178</v>
      </c>
      <c r="F30" s="12" t="s">
        <v>24</v>
      </c>
      <c r="G30" s="12">
        <f t="shared" si="18"/>
        <v>3543.5</v>
      </c>
      <c r="H30" s="14"/>
      <c r="I30" s="27">
        <f t="shared" si="14"/>
        <v>3543.5</v>
      </c>
      <c r="L30" s="12" t="s">
        <v>24</v>
      </c>
      <c r="M30" s="14">
        <f>SUM(H41)</f>
        <v>0</v>
      </c>
      <c r="N30" s="14">
        <v>180</v>
      </c>
      <c r="O30" s="14">
        <f t="shared" si="15"/>
        <v>0</v>
      </c>
      <c r="Q30" s="30">
        <v>9</v>
      </c>
      <c r="R30" s="40">
        <v>1065</v>
      </c>
      <c r="S30" s="31">
        <v>0</v>
      </c>
      <c r="T30" s="31">
        <v>84</v>
      </c>
      <c r="W30" s="2"/>
      <c r="X30" s="2"/>
    </row>
    <row r="31" spans="1:26" x14ac:dyDescent="0.25">
      <c r="A31" s="12" t="s">
        <v>26</v>
      </c>
      <c r="B31" s="12">
        <f t="shared" si="16"/>
        <v>2174.75</v>
      </c>
      <c r="C31" s="12"/>
      <c r="D31" s="27">
        <f t="shared" si="17"/>
        <v>2174.75</v>
      </c>
      <c r="F31" s="12" t="s">
        <v>26</v>
      </c>
      <c r="G31" s="12">
        <f t="shared" si="18"/>
        <v>3490.25</v>
      </c>
      <c r="H31" s="14"/>
      <c r="I31" s="27">
        <f t="shared" si="14"/>
        <v>3490.25</v>
      </c>
      <c r="L31" s="12" t="s">
        <v>26</v>
      </c>
      <c r="M31" s="14">
        <f>SUM(H41)</f>
        <v>0</v>
      </c>
      <c r="N31" s="14">
        <v>180</v>
      </c>
      <c r="O31" s="14">
        <f t="shared" si="15"/>
        <v>0</v>
      </c>
      <c r="Q31" s="30">
        <v>10</v>
      </c>
      <c r="R31" s="40">
        <v>1065</v>
      </c>
      <c r="S31" s="31">
        <v>0</v>
      </c>
      <c r="T31" s="31">
        <v>84</v>
      </c>
      <c r="W31" s="2"/>
      <c r="X31" s="2"/>
    </row>
    <row r="32" spans="1:26" x14ac:dyDescent="0.25">
      <c r="A32" s="12" t="s">
        <v>27</v>
      </c>
      <c r="B32" s="12">
        <f t="shared" si="16"/>
        <v>2270.5</v>
      </c>
      <c r="C32" s="12"/>
      <c r="D32" s="27">
        <f t="shared" si="17"/>
        <v>2270.5</v>
      </c>
      <c r="F32" s="12" t="s">
        <v>27</v>
      </c>
      <c r="G32" s="12">
        <f t="shared" si="18"/>
        <v>3576.2</v>
      </c>
      <c r="H32" s="14"/>
      <c r="I32" s="27">
        <f t="shared" si="14"/>
        <v>3576.2</v>
      </c>
      <c r="L32" s="12" t="s">
        <v>27</v>
      </c>
      <c r="M32" s="14">
        <f>SUM(H41)</f>
        <v>0</v>
      </c>
      <c r="N32" s="14">
        <v>180</v>
      </c>
      <c r="O32" s="14">
        <f t="shared" si="15"/>
        <v>0</v>
      </c>
      <c r="Q32" s="30">
        <v>11</v>
      </c>
      <c r="R32" s="31">
        <v>417</v>
      </c>
      <c r="S32" s="31">
        <v>0</v>
      </c>
      <c r="T32" s="31">
        <v>0</v>
      </c>
      <c r="W32" s="2"/>
      <c r="X32" s="2"/>
    </row>
    <row r="33" spans="1:24" x14ac:dyDescent="0.25">
      <c r="A33" s="12" t="s">
        <v>28</v>
      </c>
      <c r="B33" s="12">
        <f t="shared" si="16"/>
        <v>2269</v>
      </c>
      <c r="C33" s="12"/>
      <c r="D33" s="27">
        <f t="shared" si="17"/>
        <v>2269</v>
      </c>
      <c r="F33" s="12" t="s">
        <v>28</v>
      </c>
      <c r="G33" s="12">
        <f t="shared" si="18"/>
        <v>2924.5</v>
      </c>
      <c r="H33" s="14"/>
      <c r="I33" s="27">
        <f t="shared" si="14"/>
        <v>2924.5</v>
      </c>
      <c r="L33" s="12" t="s">
        <v>28</v>
      </c>
      <c r="M33" s="14">
        <f>SUM(H41)</f>
        <v>0</v>
      </c>
      <c r="N33" s="14">
        <v>180</v>
      </c>
      <c r="O33" s="14">
        <f>M33/5</f>
        <v>0</v>
      </c>
      <c r="Q33" s="30">
        <v>12</v>
      </c>
      <c r="R33" s="31">
        <v>417</v>
      </c>
      <c r="S33" s="31">
        <v>0</v>
      </c>
      <c r="T33" s="31">
        <v>0</v>
      </c>
      <c r="W33" s="2"/>
      <c r="X33" s="2"/>
    </row>
    <row r="34" spans="1:24" x14ac:dyDescent="0.25">
      <c r="A34" s="12" t="s">
        <v>29</v>
      </c>
      <c r="B34" s="12">
        <f t="shared" si="16"/>
        <v>2268</v>
      </c>
      <c r="C34" s="12"/>
      <c r="D34" s="27">
        <f t="shared" si="17"/>
        <v>2268</v>
      </c>
      <c r="E34">
        <v>339</v>
      </c>
      <c r="F34" s="12" t="s">
        <v>29</v>
      </c>
      <c r="G34" s="12">
        <f t="shared" si="18"/>
        <v>2742.3</v>
      </c>
      <c r="H34" s="14"/>
      <c r="I34" s="27">
        <f t="shared" si="14"/>
        <v>2742.3</v>
      </c>
      <c r="J34">
        <v>2887</v>
      </c>
      <c r="L34" s="12" t="s">
        <v>29</v>
      </c>
      <c r="M34" s="14">
        <f>SUM(H41)</f>
        <v>0</v>
      </c>
      <c r="N34" s="14">
        <v>180</v>
      </c>
      <c r="O34" s="14">
        <f>M34/5</f>
        <v>0</v>
      </c>
      <c r="W34" s="2"/>
      <c r="X34" s="2"/>
    </row>
    <row r="35" spans="1:24" x14ac:dyDescent="0.25">
      <c r="A35" s="9" t="s">
        <v>30</v>
      </c>
      <c r="B35" s="7">
        <f>SUM(B23:B34)</f>
        <v>24157.55</v>
      </c>
      <c r="C35" s="3"/>
      <c r="D35" s="7">
        <f>SUM(D23:D34)</f>
        <v>24157.55</v>
      </c>
      <c r="F35" s="9" t="s">
        <v>30</v>
      </c>
      <c r="G35" s="7">
        <f>SUM(G23:G34)</f>
        <v>46548.55</v>
      </c>
      <c r="I35" s="7">
        <f>SUM(I23:I34)</f>
        <v>46548.55</v>
      </c>
      <c r="V35" s="2"/>
      <c r="W35" s="2"/>
      <c r="X35" s="2"/>
    </row>
    <row r="36" spans="1:24" x14ac:dyDescent="0.25">
      <c r="B36">
        <v>1897</v>
      </c>
      <c r="C36" s="3"/>
      <c r="D36" s="3"/>
      <c r="X36" s="2"/>
    </row>
    <row r="39" spans="1:24" x14ac:dyDescent="0.25">
      <c r="B39" s="48" t="s">
        <v>41</v>
      </c>
      <c r="C39" s="3"/>
    </row>
    <row r="40" spans="1:24" x14ac:dyDescent="0.25">
      <c r="A40" s="10" t="s">
        <v>5</v>
      </c>
      <c r="B40" s="10"/>
      <c r="C40" s="10" t="s">
        <v>32</v>
      </c>
      <c r="D40" s="10" t="s">
        <v>33</v>
      </c>
      <c r="F40" s="28" t="s">
        <v>37</v>
      </c>
      <c r="G40" s="33" t="s">
        <v>49</v>
      </c>
      <c r="H40" s="33" t="s">
        <v>38</v>
      </c>
      <c r="L40" s="35"/>
      <c r="M40" s="35" t="s">
        <v>47</v>
      </c>
    </row>
    <row r="41" spans="1:24" x14ac:dyDescent="0.25">
      <c r="A41" s="12" t="s">
        <v>14</v>
      </c>
      <c r="B41" s="12">
        <f>SUM(J4,M4,P4)</f>
        <v>1329.9</v>
      </c>
      <c r="C41" s="12"/>
      <c r="D41" s="27">
        <f>SUM(B41,C41)</f>
        <v>1329.9</v>
      </c>
      <c r="F41" s="28"/>
      <c r="G41" s="33">
        <v>450</v>
      </c>
      <c r="H41" s="33"/>
      <c r="L41" s="35">
        <v>1</v>
      </c>
      <c r="M41" s="35">
        <f t="shared" ref="M41:M52" si="19">SUM(B23,G23)</f>
        <v>4407.3</v>
      </c>
    </row>
    <row r="42" spans="1:24" x14ac:dyDescent="0.25">
      <c r="A42" s="12" t="s">
        <v>17</v>
      </c>
      <c r="B42" s="12">
        <f t="shared" ref="B42" si="20">SUM(J5,M5,P5)</f>
        <v>1607.65</v>
      </c>
      <c r="C42" s="12"/>
      <c r="D42" s="27">
        <f t="shared" ref="D42:D52" si="21">SUM(B42,C42)</f>
        <v>1607.65</v>
      </c>
      <c r="L42" s="35">
        <v>2</v>
      </c>
      <c r="M42" s="35">
        <f t="shared" si="19"/>
        <v>6661.7999999999993</v>
      </c>
    </row>
    <row r="43" spans="1:24" x14ac:dyDescent="0.25">
      <c r="A43" s="12" t="s">
        <v>19</v>
      </c>
      <c r="B43" s="12">
        <f>SUM(J6,M6)</f>
        <v>1263</v>
      </c>
      <c r="C43" s="12"/>
      <c r="D43" s="27">
        <f t="shared" si="21"/>
        <v>1263</v>
      </c>
      <c r="L43" s="35">
        <v>3</v>
      </c>
      <c r="M43" s="35">
        <f t="shared" si="19"/>
        <v>6303</v>
      </c>
    </row>
    <row r="44" spans="1:24" x14ac:dyDescent="0.25">
      <c r="A44" s="12" t="s">
        <v>20</v>
      </c>
      <c r="B44" s="12">
        <f t="shared" ref="B44:B52" si="22">SUM(J7,M7)</f>
        <v>1080.8499999999999</v>
      </c>
      <c r="C44" s="12"/>
      <c r="D44" s="27">
        <f t="shared" si="21"/>
        <v>1080.8499999999999</v>
      </c>
      <c r="L44" s="35">
        <v>4</v>
      </c>
      <c r="M44" s="35">
        <f t="shared" si="19"/>
        <v>5945.7000000000007</v>
      </c>
    </row>
    <row r="45" spans="1:24" x14ac:dyDescent="0.25">
      <c r="A45" s="12" t="s">
        <v>21</v>
      </c>
      <c r="B45" s="12">
        <f t="shared" si="22"/>
        <v>1360.15</v>
      </c>
      <c r="C45" s="12"/>
      <c r="D45" s="27">
        <f t="shared" si="21"/>
        <v>1360.15</v>
      </c>
      <c r="L45" s="35">
        <v>5</v>
      </c>
      <c r="M45" s="35">
        <f t="shared" si="19"/>
        <v>6487.2999999999993</v>
      </c>
    </row>
    <row r="46" spans="1:24" x14ac:dyDescent="0.25">
      <c r="A46" s="12" t="s">
        <v>22</v>
      </c>
      <c r="B46" s="12">
        <f t="shared" si="22"/>
        <v>1466.75</v>
      </c>
      <c r="C46" s="12"/>
      <c r="D46" s="27">
        <f t="shared" si="21"/>
        <v>1466.75</v>
      </c>
      <c r="L46" s="35">
        <v>6</v>
      </c>
      <c r="M46" s="35">
        <f t="shared" si="19"/>
        <v>6780</v>
      </c>
    </row>
    <row r="47" spans="1:24" x14ac:dyDescent="0.25">
      <c r="A47" s="12" t="s">
        <v>23</v>
      </c>
      <c r="B47" s="12">
        <f>SUM(J10,M10)</f>
        <v>1353.75</v>
      </c>
      <c r="C47" s="12"/>
      <c r="D47" s="27">
        <f t="shared" si="21"/>
        <v>1353.75</v>
      </c>
      <c r="L47" s="35">
        <v>7</v>
      </c>
      <c r="M47" s="35">
        <f t="shared" si="19"/>
        <v>6684</v>
      </c>
    </row>
    <row r="48" spans="1:24" x14ac:dyDescent="0.25">
      <c r="A48" s="12" t="s">
        <v>24</v>
      </c>
      <c r="B48" s="12">
        <f>SUM(J11,M11)</f>
        <v>1353.75</v>
      </c>
      <c r="C48" s="12"/>
      <c r="D48" s="27">
        <f t="shared" si="21"/>
        <v>1353.75</v>
      </c>
      <c r="L48" s="35">
        <v>8</v>
      </c>
      <c r="M48" s="35">
        <f t="shared" si="19"/>
        <v>5721.5</v>
      </c>
    </row>
    <row r="49" spans="1:13" x14ac:dyDescent="0.25">
      <c r="A49" s="12" t="s">
        <v>26</v>
      </c>
      <c r="B49" s="12">
        <f t="shared" si="22"/>
        <v>1353.75</v>
      </c>
      <c r="C49" s="12"/>
      <c r="D49" s="27">
        <f t="shared" si="21"/>
        <v>1353.75</v>
      </c>
      <c r="L49" s="35">
        <v>9</v>
      </c>
      <c r="M49" s="35">
        <f t="shared" si="19"/>
        <v>5665</v>
      </c>
    </row>
    <row r="50" spans="1:13" x14ac:dyDescent="0.25">
      <c r="A50" s="12" t="s">
        <v>27</v>
      </c>
      <c r="B50" s="12">
        <f t="shared" si="22"/>
        <v>1447.5</v>
      </c>
      <c r="C50" s="12"/>
      <c r="D50" s="27">
        <f t="shared" si="21"/>
        <v>1447.5</v>
      </c>
      <c r="L50" s="35">
        <v>10</v>
      </c>
      <c r="M50" s="35">
        <f t="shared" si="19"/>
        <v>5846.7</v>
      </c>
    </row>
    <row r="51" spans="1:13" x14ac:dyDescent="0.25">
      <c r="A51" s="12" t="s">
        <v>28</v>
      </c>
      <c r="B51" s="12">
        <f t="shared" si="22"/>
        <v>1447.5</v>
      </c>
      <c r="C51" s="12"/>
      <c r="D51" s="27">
        <f t="shared" si="21"/>
        <v>1447.5</v>
      </c>
      <c r="L51" s="35">
        <v>11</v>
      </c>
      <c r="M51" s="35">
        <f>SUM(B33,G33)</f>
        <v>5193.5</v>
      </c>
    </row>
    <row r="52" spans="1:13" x14ac:dyDescent="0.25">
      <c r="A52" s="12" t="s">
        <v>29</v>
      </c>
      <c r="B52" s="12">
        <f t="shared" si="22"/>
        <v>1447.5</v>
      </c>
      <c r="C52" s="12"/>
      <c r="D52" s="27">
        <f t="shared" si="21"/>
        <v>1447.5</v>
      </c>
      <c r="L52" s="34">
        <v>12</v>
      </c>
      <c r="M52" s="34">
        <f t="shared" si="19"/>
        <v>5010.3</v>
      </c>
    </row>
    <row r="53" spans="1:13" x14ac:dyDescent="0.25">
      <c r="A53" s="9" t="s">
        <v>30</v>
      </c>
      <c r="B53" s="7">
        <f>SUM(B41:B52)</f>
        <v>16512.05</v>
      </c>
      <c r="C53" s="3"/>
      <c r="D53" s="7">
        <f>SUM(D41:D52)</f>
        <v>16512.05</v>
      </c>
    </row>
    <row r="54" spans="1:13" x14ac:dyDescent="0.25">
      <c r="B54">
        <v>1560</v>
      </c>
    </row>
  </sheetData>
  <pageMargins left="0.7" right="0.7" top="0.75" bottom="0.75" header="0.3" footer="0.3"/>
  <pageSetup paperSize="122" orientation="portrait" horizontalDpi="4294967293" verticalDpi="0" r:id="rId1"/>
  <ignoredErrors>
    <ignoredError sqref="M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workbookViewId="0">
      <selection activeCell="F4" sqref="F4"/>
    </sheetView>
  </sheetViews>
  <sheetFormatPr baseColWidth="10" defaultRowHeight="15" x14ac:dyDescent="0.25"/>
  <sheetData>
    <row r="1" spans="1:20" x14ac:dyDescent="0.25">
      <c r="B1" s="3"/>
      <c r="C1" s="3"/>
      <c r="D1" s="3"/>
    </row>
    <row r="2" spans="1:20" x14ac:dyDescent="0.25">
      <c r="B2" s="3"/>
      <c r="C2" s="3"/>
      <c r="D2" s="3"/>
      <c r="I2" s="29" t="s">
        <v>43</v>
      </c>
      <c r="J2" s="2"/>
      <c r="K2" s="2"/>
      <c r="L2" s="29" t="s">
        <v>44</v>
      </c>
      <c r="M2" s="2"/>
      <c r="N2" s="2"/>
      <c r="O2" s="29" t="s">
        <v>45</v>
      </c>
      <c r="P2" s="2"/>
      <c r="Q2" s="2"/>
      <c r="R2" s="29" t="s">
        <v>46</v>
      </c>
      <c r="T2" s="29" t="s">
        <v>42</v>
      </c>
    </row>
    <row r="3" spans="1:20" x14ac:dyDescent="0.25">
      <c r="A3" s="8" t="s">
        <v>5</v>
      </c>
      <c r="B3" s="8" t="s">
        <v>6</v>
      </c>
      <c r="C3" s="8" t="s">
        <v>7</v>
      </c>
      <c r="D3" s="8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41" t="s">
        <v>41</v>
      </c>
      <c r="K3" s="11" t="s">
        <v>13</v>
      </c>
      <c r="L3" s="10" t="s">
        <v>12</v>
      </c>
      <c r="M3" s="41" t="s">
        <v>41</v>
      </c>
      <c r="N3" s="11" t="s">
        <v>13</v>
      </c>
      <c r="O3" s="10" t="s">
        <v>12</v>
      </c>
      <c r="P3" s="41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0" x14ac:dyDescent="0.25">
      <c r="A4" s="12" t="s">
        <v>14</v>
      </c>
      <c r="B4" s="12">
        <v>4924</v>
      </c>
      <c r="C4" s="12">
        <v>1015</v>
      </c>
      <c r="D4" s="12">
        <v>1254</v>
      </c>
      <c r="E4" s="13">
        <f>CUENTAS!B16</f>
        <v>882</v>
      </c>
      <c r="F4" s="14">
        <f>CUENTAS!B17</f>
        <v>630</v>
      </c>
      <c r="G4" s="13">
        <f t="shared" ref="G4:G16" si="0">SUM(B4:F4)</f>
        <v>8705</v>
      </c>
      <c r="I4" s="14">
        <f>B4/5</f>
        <v>984.8</v>
      </c>
      <c r="J4" s="14">
        <f>B4/5</f>
        <v>984.8</v>
      </c>
      <c r="K4" s="14">
        <f>B4/5</f>
        <v>984.8</v>
      </c>
      <c r="L4" s="14">
        <f>C4/4</f>
        <v>253.75</v>
      </c>
      <c r="M4" s="14">
        <f>C4/4</f>
        <v>253.75</v>
      </c>
      <c r="N4" s="14">
        <f>C4/4</f>
        <v>253.75</v>
      </c>
      <c r="O4" s="14">
        <f>D4/4</f>
        <v>313.5</v>
      </c>
      <c r="P4" s="14">
        <f>D4/4</f>
        <v>313.5</v>
      </c>
      <c r="Q4" s="14">
        <f>D4/4</f>
        <v>313.5</v>
      </c>
      <c r="R4" s="14">
        <f>E4/4</f>
        <v>220.5</v>
      </c>
      <c r="S4" s="14">
        <f>E4/4</f>
        <v>220.5</v>
      </c>
      <c r="T4" s="14">
        <f>F4/4</f>
        <v>157.5</v>
      </c>
    </row>
    <row r="5" spans="1:20" x14ac:dyDescent="0.25">
      <c r="A5" s="12" t="s">
        <v>17</v>
      </c>
      <c r="B5" s="12">
        <v>6339</v>
      </c>
      <c r="C5" s="12">
        <v>1081</v>
      </c>
      <c r="D5" s="12">
        <v>1657</v>
      </c>
      <c r="E5" s="13">
        <f>CUENTAS!B16</f>
        <v>882</v>
      </c>
      <c r="F5" s="14">
        <f>CUENTAS!B17</f>
        <v>630</v>
      </c>
      <c r="G5" s="13">
        <f t="shared" si="0"/>
        <v>10589</v>
      </c>
      <c r="I5" s="14">
        <v>1100</v>
      </c>
      <c r="J5" s="14">
        <v>1100</v>
      </c>
      <c r="K5" s="14">
        <v>1403</v>
      </c>
      <c r="L5" s="14">
        <f t="shared" ref="L5:L15" si="1">C5/4</f>
        <v>270.25</v>
      </c>
      <c r="M5" s="14">
        <f t="shared" ref="M5:M15" si="2">C5/4</f>
        <v>270.25</v>
      </c>
      <c r="N5" s="14">
        <f t="shared" ref="N5:O15" si="3">C5/4</f>
        <v>270.25</v>
      </c>
      <c r="O5" s="14">
        <f t="shared" si="3"/>
        <v>414.25</v>
      </c>
      <c r="P5" s="14">
        <f t="shared" ref="P5:P15" si="4">D5/4</f>
        <v>414.25</v>
      </c>
      <c r="Q5" s="14">
        <f t="shared" ref="Q5:R15" si="5">D5/4</f>
        <v>414.25</v>
      </c>
      <c r="R5" s="14">
        <f t="shared" si="5"/>
        <v>220.5</v>
      </c>
      <c r="S5" s="14">
        <f t="shared" ref="S5:T15" si="6">E5/4</f>
        <v>220.5</v>
      </c>
      <c r="T5" s="14">
        <f t="shared" si="6"/>
        <v>157.5</v>
      </c>
    </row>
    <row r="6" spans="1:20" x14ac:dyDescent="0.25">
      <c r="A6" s="12" t="s">
        <v>19</v>
      </c>
      <c r="B6" s="12">
        <v>6296</v>
      </c>
      <c r="C6" s="12">
        <v>1081</v>
      </c>
      <c r="D6" s="12">
        <v>1867</v>
      </c>
      <c r="E6" s="13">
        <f>CUENTAS!B16</f>
        <v>882</v>
      </c>
      <c r="F6" s="14">
        <f>CUENTAS!B17</f>
        <v>630</v>
      </c>
      <c r="G6" s="13">
        <f t="shared" si="0"/>
        <v>10756</v>
      </c>
      <c r="I6" s="14">
        <v>1100</v>
      </c>
      <c r="J6" s="14">
        <v>1100</v>
      </c>
      <c r="K6" s="14">
        <v>1431</v>
      </c>
      <c r="L6" s="14">
        <f t="shared" si="1"/>
        <v>270.25</v>
      </c>
      <c r="M6" s="14">
        <f t="shared" si="2"/>
        <v>270.25</v>
      </c>
      <c r="N6" s="14">
        <f t="shared" si="3"/>
        <v>270.25</v>
      </c>
      <c r="O6" s="14">
        <f t="shared" si="3"/>
        <v>466.75</v>
      </c>
      <c r="P6" s="14">
        <f t="shared" si="4"/>
        <v>466.75</v>
      </c>
      <c r="Q6" s="14">
        <f t="shared" si="5"/>
        <v>466.75</v>
      </c>
      <c r="R6" s="14">
        <f t="shared" si="5"/>
        <v>220.5</v>
      </c>
      <c r="S6" s="14">
        <f t="shared" si="6"/>
        <v>220.5</v>
      </c>
      <c r="T6" s="14">
        <f t="shared" si="6"/>
        <v>157.5</v>
      </c>
    </row>
    <row r="7" spans="1:20" x14ac:dyDescent="0.25">
      <c r="A7" s="12" t="s">
        <v>20</v>
      </c>
      <c r="B7" s="12">
        <v>5580</v>
      </c>
      <c r="C7" s="12">
        <v>1081</v>
      </c>
      <c r="D7" s="12">
        <v>1800</v>
      </c>
      <c r="E7" s="13">
        <f>CUENTAS!B16</f>
        <v>882</v>
      </c>
      <c r="F7" s="14">
        <f>CUENTAS!B17</f>
        <v>630</v>
      </c>
      <c r="G7" s="13">
        <f t="shared" si="0"/>
        <v>9973</v>
      </c>
      <c r="I7" s="14">
        <v>1036</v>
      </c>
      <c r="J7" s="14">
        <v>1036</v>
      </c>
      <c r="K7" s="14">
        <v>1234</v>
      </c>
      <c r="L7" s="14">
        <f t="shared" si="1"/>
        <v>270.25</v>
      </c>
      <c r="M7" s="14">
        <f t="shared" si="2"/>
        <v>270.25</v>
      </c>
      <c r="N7" s="14">
        <f t="shared" si="3"/>
        <v>270.25</v>
      </c>
      <c r="O7" s="14">
        <f t="shared" si="3"/>
        <v>450</v>
      </c>
      <c r="P7" s="14">
        <f t="shared" si="4"/>
        <v>450</v>
      </c>
      <c r="Q7" s="14">
        <f t="shared" si="5"/>
        <v>450</v>
      </c>
      <c r="R7" s="14">
        <f t="shared" si="5"/>
        <v>220.5</v>
      </c>
      <c r="S7" s="14">
        <f t="shared" si="6"/>
        <v>220.5</v>
      </c>
      <c r="T7" s="14">
        <f t="shared" si="6"/>
        <v>157.5</v>
      </c>
    </row>
    <row r="8" spans="1:20" x14ac:dyDescent="0.25">
      <c r="A8" s="12" t="s">
        <v>21</v>
      </c>
      <c r="B8" s="12">
        <v>6192</v>
      </c>
      <c r="C8" s="12">
        <v>1481</v>
      </c>
      <c r="D8" s="12">
        <v>1800</v>
      </c>
      <c r="E8" s="13">
        <f>CUENTAS!B16</f>
        <v>882</v>
      </c>
      <c r="F8" s="14">
        <f>CUENTAS!B17</f>
        <v>630</v>
      </c>
      <c r="G8" s="13">
        <f t="shared" si="0"/>
        <v>10985</v>
      </c>
      <c r="I8" s="14">
        <v>1100</v>
      </c>
      <c r="J8" s="14">
        <v>1100</v>
      </c>
      <c r="K8" s="14">
        <v>1379</v>
      </c>
      <c r="L8" s="14">
        <f t="shared" si="1"/>
        <v>370.25</v>
      </c>
      <c r="M8" s="14">
        <f t="shared" si="2"/>
        <v>370.25</v>
      </c>
      <c r="N8" s="14">
        <f t="shared" si="3"/>
        <v>370.25</v>
      </c>
      <c r="O8" s="14">
        <f t="shared" si="3"/>
        <v>450</v>
      </c>
      <c r="P8" s="14">
        <f t="shared" si="4"/>
        <v>450</v>
      </c>
      <c r="Q8" s="14">
        <f t="shared" si="5"/>
        <v>450</v>
      </c>
      <c r="R8" s="14">
        <f t="shared" si="5"/>
        <v>220.5</v>
      </c>
      <c r="S8" s="14">
        <f t="shared" si="6"/>
        <v>220.5</v>
      </c>
      <c r="T8" s="14">
        <f t="shared" si="6"/>
        <v>157.5</v>
      </c>
    </row>
    <row r="9" spans="1:20" x14ac:dyDescent="0.25">
      <c r="A9" s="12" t="s">
        <v>22</v>
      </c>
      <c r="B9" s="12">
        <v>6001</v>
      </c>
      <c r="C9" s="12">
        <v>1081</v>
      </c>
      <c r="D9" s="12">
        <v>1598</v>
      </c>
      <c r="E9" s="13">
        <f>CUENTAS!B16</f>
        <v>882</v>
      </c>
      <c r="F9" s="14">
        <f>CUENTAS!B17</f>
        <v>630</v>
      </c>
      <c r="G9" s="13">
        <f t="shared" si="0"/>
        <v>10192</v>
      </c>
      <c r="I9" s="14">
        <v>1100</v>
      </c>
      <c r="J9" s="14">
        <v>1100</v>
      </c>
      <c r="K9" s="51">
        <v>1283</v>
      </c>
      <c r="L9" s="14">
        <f t="shared" si="1"/>
        <v>270.25</v>
      </c>
      <c r="M9" s="14">
        <f t="shared" si="2"/>
        <v>270.25</v>
      </c>
      <c r="N9" s="14">
        <f t="shared" si="3"/>
        <v>270.25</v>
      </c>
      <c r="O9" s="14">
        <f t="shared" si="3"/>
        <v>399.5</v>
      </c>
      <c r="P9" s="14">
        <f t="shared" si="4"/>
        <v>399.5</v>
      </c>
      <c r="Q9" s="14">
        <f t="shared" si="5"/>
        <v>399.5</v>
      </c>
      <c r="R9" s="14">
        <f t="shared" si="5"/>
        <v>220.5</v>
      </c>
      <c r="S9" s="14">
        <f t="shared" si="6"/>
        <v>220.5</v>
      </c>
      <c r="T9" s="14">
        <f t="shared" si="6"/>
        <v>157.5</v>
      </c>
    </row>
    <row r="10" spans="1:20" x14ac:dyDescent="0.25">
      <c r="A10" s="12" t="s">
        <v>23</v>
      </c>
      <c r="B10" s="12">
        <v>7305</v>
      </c>
      <c r="C10" s="12">
        <v>1081</v>
      </c>
      <c r="D10" s="12">
        <v>1598</v>
      </c>
      <c r="E10" s="13">
        <f>CUENTAS!B16</f>
        <v>882</v>
      </c>
      <c r="F10" s="14">
        <f>CUENTAS!B17</f>
        <v>630</v>
      </c>
      <c r="G10" s="13">
        <f t="shared" si="0"/>
        <v>11496</v>
      </c>
      <c r="I10" s="14">
        <v>1100</v>
      </c>
      <c r="J10" s="14">
        <v>1100</v>
      </c>
      <c r="K10" s="51">
        <v>1935</v>
      </c>
      <c r="L10" s="14">
        <f t="shared" si="1"/>
        <v>270.25</v>
      </c>
      <c r="M10" s="14">
        <f t="shared" si="2"/>
        <v>270.25</v>
      </c>
      <c r="N10" s="14">
        <f t="shared" si="3"/>
        <v>270.25</v>
      </c>
      <c r="O10" s="14">
        <f t="shared" si="3"/>
        <v>399.5</v>
      </c>
      <c r="P10" s="14">
        <f t="shared" si="4"/>
        <v>399.5</v>
      </c>
      <c r="Q10" s="14">
        <f t="shared" si="5"/>
        <v>399.5</v>
      </c>
      <c r="R10" s="14">
        <f t="shared" si="5"/>
        <v>220.5</v>
      </c>
      <c r="S10" s="14">
        <f t="shared" si="6"/>
        <v>220.5</v>
      </c>
      <c r="T10" s="14">
        <f t="shared" si="6"/>
        <v>157.5</v>
      </c>
    </row>
    <row r="11" spans="1:20" x14ac:dyDescent="0.25">
      <c r="A11" s="12" t="s">
        <v>24</v>
      </c>
      <c r="B11" s="12">
        <v>8047</v>
      </c>
      <c r="C11" s="12">
        <v>1081</v>
      </c>
      <c r="D11" s="12">
        <v>1598</v>
      </c>
      <c r="E11" s="13">
        <f>CUENTAS!B16</f>
        <v>882</v>
      </c>
      <c r="F11" s="14">
        <f>CUENTAS!B17</f>
        <v>630</v>
      </c>
      <c r="G11" s="13">
        <f t="shared" si="0"/>
        <v>12238</v>
      </c>
      <c r="I11" s="14">
        <v>1100</v>
      </c>
      <c r="J11" s="14">
        <v>1100</v>
      </c>
      <c r="K11" s="51">
        <v>2306</v>
      </c>
      <c r="L11" s="14">
        <f t="shared" si="1"/>
        <v>270.25</v>
      </c>
      <c r="M11" s="14">
        <f t="shared" si="2"/>
        <v>270.25</v>
      </c>
      <c r="N11" s="14">
        <f t="shared" si="3"/>
        <v>270.25</v>
      </c>
      <c r="O11" s="14">
        <f t="shared" si="3"/>
        <v>399.5</v>
      </c>
      <c r="P11" s="14">
        <f t="shared" si="4"/>
        <v>399.5</v>
      </c>
      <c r="Q11" s="14">
        <f t="shared" si="5"/>
        <v>399.5</v>
      </c>
      <c r="R11" s="14">
        <f t="shared" si="5"/>
        <v>220.5</v>
      </c>
      <c r="S11" s="14">
        <f t="shared" si="6"/>
        <v>220.5</v>
      </c>
      <c r="T11" s="14">
        <f t="shared" si="6"/>
        <v>157.5</v>
      </c>
    </row>
    <row r="12" spans="1:20" x14ac:dyDescent="0.25">
      <c r="A12" s="12" t="s">
        <v>26</v>
      </c>
      <c r="B12" s="12">
        <v>7707</v>
      </c>
      <c r="C12" s="12">
        <v>1481</v>
      </c>
      <c r="D12" s="12">
        <v>1668</v>
      </c>
      <c r="E12" s="13">
        <f>CUENTAS!B16</f>
        <v>882</v>
      </c>
      <c r="F12" s="14">
        <f>CUENTAS!B17</f>
        <v>630</v>
      </c>
      <c r="G12" s="13">
        <f t="shared" si="0"/>
        <v>12368</v>
      </c>
      <c r="I12" s="14">
        <v>1100</v>
      </c>
      <c r="J12" s="14">
        <v>1100</v>
      </c>
      <c r="K12" s="51">
        <v>2137</v>
      </c>
      <c r="L12" s="14">
        <f t="shared" si="1"/>
        <v>370.25</v>
      </c>
      <c r="M12" s="14">
        <f t="shared" si="2"/>
        <v>370.25</v>
      </c>
      <c r="N12" s="14">
        <f t="shared" si="3"/>
        <v>370.25</v>
      </c>
      <c r="O12" s="14">
        <f t="shared" si="3"/>
        <v>417</v>
      </c>
      <c r="P12" s="14">
        <f t="shared" si="4"/>
        <v>417</v>
      </c>
      <c r="Q12" s="14">
        <f t="shared" si="5"/>
        <v>417</v>
      </c>
      <c r="R12" s="14">
        <f t="shared" si="5"/>
        <v>220.5</v>
      </c>
      <c r="S12" s="14">
        <f t="shared" si="6"/>
        <v>220.5</v>
      </c>
      <c r="T12" s="14">
        <f t="shared" si="6"/>
        <v>157.5</v>
      </c>
    </row>
    <row r="13" spans="1:20" x14ac:dyDescent="0.25">
      <c r="A13" s="12" t="s">
        <v>27</v>
      </c>
      <c r="B13" s="12">
        <v>6892</v>
      </c>
      <c r="C13" s="12">
        <v>1081</v>
      </c>
      <c r="D13" s="12">
        <v>1598</v>
      </c>
      <c r="E13" s="13">
        <f>CUENTAS!B16</f>
        <v>882</v>
      </c>
      <c r="F13" s="14">
        <f>CUENTAS!B17</f>
        <v>630</v>
      </c>
      <c r="G13" s="13">
        <f t="shared" si="0"/>
        <v>11083</v>
      </c>
      <c r="I13" s="14">
        <v>1100</v>
      </c>
      <c r="J13" s="14">
        <v>1100</v>
      </c>
      <c r="K13" s="51">
        <v>1729</v>
      </c>
      <c r="L13" s="14">
        <f t="shared" si="1"/>
        <v>270.25</v>
      </c>
      <c r="M13" s="14">
        <f t="shared" si="2"/>
        <v>270.25</v>
      </c>
      <c r="N13" s="14">
        <f t="shared" si="3"/>
        <v>270.25</v>
      </c>
      <c r="O13" s="14">
        <f t="shared" si="3"/>
        <v>399.5</v>
      </c>
      <c r="P13" s="14">
        <f t="shared" si="4"/>
        <v>399.5</v>
      </c>
      <c r="Q13" s="14">
        <f t="shared" si="5"/>
        <v>399.5</v>
      </c>
      <c r="R13" s="14">
        <f t="shared" si="5"/>
        <v>220.5</v>
      </c>
      <c r="S13" s="14">
        <f t="shared" si="6"/>
        <v>220.5</v>
      </c>
      <c r="T13" s="14">
        <f t="shared" si="6"/>
        <v>157.5</v>
      </c>
    </row>
    <row r="14" spans="1:20" x14ac:dyDescent="0.25">
      <c r="A14" s="12" t="s">
        <v>28</v>
      </c>
      <c r="B14" s="12">
        <v>5650</v>
      </c>
      <c r="C14" s="12">
        <v>1481</v>
      </c>
      <c r="D14" s="12">
        <v>1598</v>
      </c>
      <c r="E14" s="13">
        <f>CUENTAS!B16</f>
        <v>882</v>
      </c>
      <c r="F14" s="14">
        <f>CUENTAS!B17</f>
        <v>630</v>
      </c>
      <c r="G14" s="13">
        <f t="shared" si="0"/>
        <v>10241</v>
      </c>
      <c r="I14" s="14">
        <v>1090</v>
      </c>
      <c r="J14" s="14">
        <v>1090</v>
      </c>
      <c r="K14" s="51">
        <v>1240</v>
      </c>
      <c r="L14" s="14">
        <f t="shared" si="1"/>
        <v>370.25</v>
      </c>
      <c r="M14" s="14">
        <f t="shared" si="2"/>
        <v>370.25</v>
      </c>
      <c r="N14" s="14">
        <f t="shared" si="3"/>
        <v>370.25</v>
      </c>
      <c r="O14" s="14">
        <f t="shared" si="3"/>
        <v>399.5</v>
      </c>
      <c r="P14" s="14">
        <f t="shared" si="4"/>
        <v>399.5</v>
      </c>
      <c r="Q14" s="14">
        <f t="shared" si="5"/>
        <v>399.5</v>
      </c>
      <c r="R14" s="14">
        <f t="shared" si="5"/>
        <v>220.5</v>
      </c>
      <c r="S14" s="14">
        <f t="shared" si="6"/>
        <v>220.5</v>
      </c>
      <c r="T14" s="14">
        <f t="shared" si="6"/>
        <v>157.5</v>
      </c>
    </row>
    <row r="15" spans="1:20" x14ac:dyDescent="0.25">
      <c r="A15" s="12" t="s">
        <v>29</v>
      </c>
      <c r="B15" s="12">
        <v>5182</v>
      </c>
      <c r="C15" s="12">
        <v>1081</v>
      </c>
      <c r="D15" s="12">
        <v>1598</v>
      </c>
      <c r="E15" s="13">
        <f>CUENTAS!B16</f>
        <v>882</v>
      </c>
      <c r="F15" s="14">
        <f>CUENTAS!B17</f>
        <v>630</v>
      </c>
      <c r="G15" s="13">
        <f t="shared" si="0"/>
        <v>9373</v>
      </c>
      <c r="I15" s="14">
        <v>1021</v>
      </c>
      <c r="J15" s="14">
        <v>1021</v>
      </c>
      <c r="K15" s="51">
        <v>1100</v>
      </c>
      <c r="L15" s="14">
        <f t="shared" si="1"/>
        <v>270.25</v>
      </c>
      <c r="M15" s="14">
        <f t="shared" si="2"/>
        <v>270.25</v>
      </c>
      <c r="N15" s="14">
        <f t="shared" si="3"/>
        <v>270.25</v>
      </c>
      <c r="O15" s="14">
        <f t="shared" si="3"/>
        <v>399.5</v>
      </c>
      <c r="P15" s="14">
        <f t="shared" si="4"/>
        <v>399.5</v>
      </c>
      <c r="Q15" s="14">
        <f t="shared" si="5"/>
        <v>399.5</v>
      </c>
      <c r="R15" s="14">
        <f t="shared" si="5"/>
        <v>220.5</v>
      </c>
      <c r="S15" s="14">
        <f t="shared" si="6"/>
        <v>220.5</v>
      </c>
      <c r="T15" s="14">
        <f t="shared" si="6"/>
        <v>157.5</v>
      </c>
    </row>
    <row r="16" spans="1:20" x14ac:dyDescent="0.25">
      <c r="A16" s="9" t="s">
        <v>30</v>
      </c>
      <c r="B16" s="7">
        <f t="shared" ref="B16:F16" si="7">SUM(B4:B15)</f>
        <v>76115</v>
      </c>
      <c r="C16" s="7">
        <f t="shared" si="7"/>
        <v>14106</v>
      </c>
      <c r="D16" s="7">
        <f t="shared" si="7"/>
        <v>19634</v>
      </c>
      <c r="E16" s="7">
        <f t="shared" si="7"/>
        <v>10584</v>
      </c>
      <c r="F16" s="7">
        <f t="shared" si="7"/>
        <v>7560</v>
      </c>
      <c r="G16" s="22">
        <f t="shared" si="0"/>
        <v>127999</v>
      </c>
    </row>
    <row r="17" spans="1:24" x14ac:dyDescent="0.25">
      <c r="B17" s="3"/>
      <c r="C17" s="3"/>
      <c r="D17" s="3"/>
      <c r="X17" t="s">
        <v>59</v>
      </c>
    </row>
    <row r="18" spans="1:24" x14ac:dyDescent="0.25">
      <c r="B18" s="3"/>
      <c r="C18" s="3"/>
      <c r="D18" s="3"/>
    </row>
    <row r="19" spans="1:24" x14ac:dyDescent="0.25">
      <c r="B19" s="3"/>
      <c r="C19" s="3"/>
      <c r="D19" s="3"/>
    </row>
    <row r="20" spans="1:24" x14ac:dyDescent="0.25">
      <c r="B20" s="3"/>
      <c r="C20" s="3"/>
      <c r="D20" s="3"/>
    </row>
    <row r="21" spans="1:24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30"/>
      <c r="R21" s="28" t="s">
        <v>58</v>
      </c>
      <c r="S21" s="28" t="s">
        <v>48</v>
      </c>
      <c r="T21" s="28" t="s">
        <v>51</v>
      </c>
    </row>
    <row r="22" spans="1:24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30">
        <v>1</v>
      </c>
      <c r="R22" s="40">
        <v>0</v>
      </c>
      <c r="S22" s="31">
        <v>0</v>
      </c>
      <c r="T22" s="31">
        <v>0</v>
      </c>
    </row>
    <row r="23" spans="1:24" x14ac:dyDescent="0.25">
      <c r="A23" s="12" t="s">
        <v>14</v>
      </c>
      <c r="B23" s="12">
        <f>SUM(I4,L4,O4,R4,N23)</f>
        <v>1952.55</v>
      </c>
      <c r="C23" s="12"/>
      <c r="D23" s="27">
        <f>SUM(B23,C23)</f>
        <v>1952.55</v>
      </c>
      <c r="F23" s="12" t="s">
        <v>14</v>
      </c>
      <c r="G23" s="12">
        <f>SUM(K4,N4,Q4,S4,T4,O23,S22,R22,T22)</f>
        <v>1930.05</v>
      </c>
      <c r="H23" s="14"/>
      <c r="I23" s="27">
        <f t="shared" ref="I23:I34" si="8">SUM(G23,H23)</f>
        <v>1930.05</v>
      </c>
      <c r="L23" s="12" t="s">
        <v>14</v>
      </c>
      <c r="M23" s="14">
        <f>SUM(H41)</f>
        <v>0</v>
      </c>
      <c r="N23" s="14">
        <v>180</v>
      </c>
      <c r="O23" s="14">
        <f t="shared" ref="O23:O29" si="9">M23/3</f>
        <v>0</v>
      </c>
      <c r="Q23" s="32">
        <v>2</v>
      </c>
      <c r="R23" s="40">
        <v>120</v>
      </c>
      <c r="S23" s="31">
        <v>0</v>
      </c>
      <c r="T23" s="31">
        <v>0</v>
      </c>
    </row>
    <row r="24" spans="1:24" x14ac:dyDescent="0.25">
      <c r="A24" s="12" t="s">
        <v>17</v>
      </c>
      <c r="B24" s="12">
        <f t="shared" ref="B24:B34" si="10">SUM(I5,L5,O5,R5,N24)</f>
        <v>2185</v>
      </c>
      <c r="C24" s="12"/>
      <c r="D24" s="27">
        <f t="shared" ref="D24:D34" si="11">SUM(B24,C24)</f>
        <v>2185</v>
      </c>
      <c r="F24" s="12" t="s">
        <v>17</v>
      </c>
      <c r="G24" s="12">
        <f>SUM(K5,N5,Q5,S5,T5,O24,S23,R23,T23)</f>
        <v>2585.5</v>
      </c>
      <c r="H24" s="14"/>
      <c r="I24" s="27">
        <f t="shared" si="8"/>
        <v>2585.5</v>
      </c>
      <c r="L24" s="12" t="s">
        <v>17</v>
      </c>
      <c r="M24" s="14">
        <f>SUM(H41)</f>
        <v>0</v>
      </c>
      <c r="N24" s="14">
        <v>180</v>
      </c>
      <c r="O24" s="14">
        <f t="shared" si="9"/>
        <v>0</v>
      </c>
      <c r="Q24" s="30">
        <v>3</v>
      </c>
      <c r="R24" s="40">
        <v>4120</v>
      </c>
      <c r="S24" s="31">
        <v>0</v>
      </c>
      <c r="T24" s="31">
        <v>0</v>
      </c>
    </row>
    <row r="25" spans="1:24" x14ac:dyDescent="0.25">
      <c r="A25" s="12" t="s">
        <v>19</v>
      </c>
      <c r="B25" s="12">
        <f t="shared" si="10"/>
        <v>2237.5</v>
      </c>
      <c r="C25" s="12"/>
      <c r="D25" s="27">
        <f t="shared" si="11"/>
        <v>2237.5</v>
      </c>
      <c r="F25" s="12" t="s">
        <v>19</v>
      </c>
      <c r="G25" s="12">
        <f t="shared" ref="G25:G29" si="12">SUM(K6,N6,Q6,S6,T6,O25,S24,R24,T24)</f>
        <v>6666</v>
      </c>
      <c r="H25" s="14"/>
      <c r="I25" s="27">
        <f t="shared" si="8"/>
        <v>6666</v>
      </c>
      <c r="L25" s="12" t="s">
        <v>19</v>
      </c>
      <c r="M25" s="14">
        <f>SUM(H41)</f>
        <v>0</v>
      </c>
      <c r="N25" s="14">
        <v>180</v>
      </c>
      <c r="O25" s="14">
        <f t="shared" si="9"/>
        <v>0</v>
      </c>
      <c r="Q25" s="30">
        <v>4</v>
      </c>
      <c r="R25" s="40">
        <v>2523</v>
      </c>
      <c r="S25" s="31">
        <v>0</v>
      </c>
      <c r="T25" s="31">
        <v>0</v>
      </c>
    </row>
    <row r="26" spans="1:24" x14ac:dyDescent="0.25">
      <c r="A26" s="12" t="s">
        <v>20</v>
      </c>
      <c r="B26" s="12">
        <f t="shared" si="10"/>
        <v>2156.75</v>
      </c>
      <c r="C26" s="12"/>
      <c r="D26" s="27">
        <f t="shared" si="11"/>
        <v>2156.75</v>
      </c>
      <c r="F26" s="12" t="s">
        <v>20</v>
      </c>
      <c r="G26" s="12">
        <f>SUM(K7,N7,Q7,S7,T7,O26,S25,R25,T25)</f>
        <v>4855.25</v>
      </c>
      <c r="H26" s="14"/>
      <c r="I26" s="27">
        <f t="shared" si="8"/>
        <v>4855.25</v>
      </c>
      <c r="L26" s="12" t="s">
        <v>20</v>
      </c>
      <c r="M26" s="14">
        <f>SUM(H41)</f>
        <v>0</v>
      </c>
      <c r="N26" s="14">
        <v>180</v>
      </c>
      <c r="O26" s="14">
        <f t="shared" si="9"/>
        <v>0</v>
      </c>
      <c r="Q26" s="30">
        <v>5</v>
      </c>
      <c r="R26" s="40">
        <v>2088</v>
      </c>
      <c r="S26" s="31">
        <v>0</v>
      </c>
      <c r="T26" s="31">
        <v>0</v>
      </c>
    </row>
    <row r="27" spans="1:24" x14ac:dyDescent="0.25">
      <c r="A27" s="12" t="s">
        <v>21</v>
      </c>
      <c r="B27" s="12">
        <f>SUM(I8,L8,O8,R8,N27)</f>
        <v>2320.75</v>
      </c>
      <c r="C27" s="12"/>
      <c r="D27" s="27">
        <f t="shared" si="11"/>
        <v>2320.75</v>
      </c>
      <c r="F27" s="12" t="s">
        <v>21</v>
      </c>
      <c r="G27" s="12">
        <f>SUM(K8,N8,Q8,S8,T8,O27,S26,R26,T26)</f>
        <v>4665.25</v>
      </c>
      <c r="H27" s="14"/>
      <c r="I27" s="27">
        <f t="shared" si="8"/>
        <v>4665.25</v>
      </c>
      <c r="L27" s="12" t="s">
        <v>21</v>
      </c>
      <c r="M27" s="14">
        <f>SUM(H41)</f>
        <v>0</v>
      </c>
      <c r="N27" s="14">
        <v>180</v>
      </c>
      <c r="O27" s="14">
        <f t="shared" si="9"/>
        <v>0</v>
      </c>
      <c r="Q27" s="30">
        <v>6</v>
      </c>
      <c r="R27" s="40">
        <v>2662</v>
      </c>
      <c r="S27" s="31">
        <v>0</v>
      </c>
      <c r="T27" s="31">
        <v>0</v>
      </c>
    </row>
    <row r="28" spans="1:24" x14ac:dyDescent="0.25">
      <c r="A28" s="12" t="s">
        <v>22</v>
      </c>
      <c r="B28" s="12">
        <f t="shared" si="10"/>
        <v>1990.25</v>
      </c>
      <c r="C28" s="12"/>
      <c r="D28" s="27">
        <f t="shared" si="11"/>
        <v>1990.25</v>
      </c>
      <c r="F28" s="12" t="s">
        <v>22</v>
      </c>
      <c r="G28" s="12">
        <f>SUM(K9,N9,Q9,S9,T9,O28,S27,R27,T27)</f>
        <v>4992.75</v>
      </c>
      <c r="H28" s="14"/>
      <c r="I28" s="27">
        <f t="shared" si="8"/>
        <v>4992.75</v>
      </c>
      <c r="L28" s="12" t="s">
        <v>22</v>
      </c>
      <c r="M28" s="14">
        <f>SUM(H41)</f>
        <v>0</v>
      </c>
      <c r="N28" s="14">
        <v>0</v>
      </c>
      <c r="O28" s="14">
        <f t="shared" si="9"/>
        <v>0</v>
      </c>
      <c r="Q28" s="30">
        <v>7</v>
      </c>
      <c r="R28" s="40">
        <v>1619</v>
      </c>
      <c r="S28" s="31">
        <v>0</v>
      </c>
      <c r="T28" s="31">
        <v>0</v>
      </c>
    </row>
    <row r="29" spans="1:24" x14ac:dyDescent="0.25">
      <c r="A29" s="12" t="s">
        <v>23</v>
      </c>
      <c r="B29" s="12">
        <f>SUM(I10,L10,O10,R10,N29)</f>
        <v>1990.25</v>
      </c>
      <c r="C29" s="12"/>
      <c r="D29" s="27">
        <f t="shared" si="11"/>
        <v>1990.25</v>
      </c>
      <c r="F29" s="12" t="s">
        <v>23</v>
      </c>
      <c r="G29" s="12">
        <f t="shared" si="12"/>
        <v>4601.75</v>
      </c>
      <c r="H29" s="14"/>
      <c r="I29" s="27">
        <f t="shared" si="8"/>
        <v>4601.75</v>
      </c>
      <c r="L29" s="12" t="s">
        <v>23</v>
      </c>
      <c r="M29" s="14">
        <f>SUM(H41)</f>
        <v>0</v>
      </c>
      <c r="N29" s="14">
        <v>0</v>
      </c>
      <c r="O29" s="14">
        <f t="shared" si="9"/>
        <v>0</v>
      </c>
      <c r="Q29" s="30">
        <v>8</v>
      </c>
      <c r="R29" s="40">
        <v>1619</v>
      </c>
      <c r="S29" s="31">
        <v>0</v>
      </c>
      <c r="T29" s="31">
        <v>0</v>
      </c>
    </row>
    <row r="30" spans="1:24" x14ac:dyDescent="0.25">
      <c r="A30" s="12" t="s">
        <v>24</v>
      </c>
      <c r="B30" s="12">
        <f>SUM(I11,L11,O11,R11,N30)</f>
        <v>1990.25</v>
      </c>
      <c r="C30" s="12"/>
      <c r="D30" s="27">
        <f t="shared" si="11"/>
        <v>1990.25</v>
      </c>
      <c r="F30" s="12" t="s">
        <v>24</v>
      </c>
      <c r="G30" s="12">
        <f>SUM(K11,N11,Q11,S11,T11,O30,S29,R29,T29)</f>
        <v>4972.75</v>
      </c>
      <c r="H30" s="14"/>
      <c r="I30" s="27">
        <f t="shared" si="8"/>
        <v>4972.75</v>
      </c>
      <c r="L30" s="12" t="s">
        <v>24</v>
      </c>
      <c r="M30" s="14">
        <f>SUM(H41)</f>
        <v>0</v>
      </c>
      <c r="N30" s="14">
        <v>0</v>
      </c>
      <c r="O30" s="14">
        <v>0</v>
      </c>
      <c r="Q30" s="30">
        <v>9</v>
      </c>
      <c r="R30" s="40">
        <v>1929</v>
      </c>
      <c r="S30" s="31">
        <v>0</v>
      </c>
      <c r="T30" s="31">
        <v>0</v>
      </c>
    </row>
    <row r="31" spans="1:24" x14ac:dyDescent="0.25">
      <c r="A31" s="12" t="s">
        <v>26</v>
      </c>
      <c r="B31" s="12">
        <f t="shared" si="10"/>
        <v>3078.75</v>
      </c>
      <c r="C31" s="12"/>
      <c r="D31" s="27">
        <f t="shared" si="11"/>
        <v>3078.75</v>
      </c>
      <c r="F31" s="12" t="s">
        <v>26</v>
      </c>
      <c r="G31" s="12">
        <f>SUM(K12,N12,Q12,S12,T12,O31,S30,R30,T30)</f>
        <v>5714.25</v>
      </c>
      <c r="H31" s="14"/>
      <c r="I31" s="27">
        <f t="shared" si="8"/>
        <v>5714.25</v>
      </c>
      <c r="L31" s="12" t="s">
        <v>26</v>
      </c>
      <c r="M31" s="14">
        <f>SUM(H41)</f>
        <v>0</v>
      </c>
      <c r="N31" s="14">
        <v>971</v>
      </c>
      <c r="O31" s="14">
        <v>483</v>
      </c>
      <c r="Q31" s="30">
        <v>10</v>
      </c>
      <c r="R31" s="40">
        <v>1619</v>
      </c>
      <c r="S31" s="31">
        <v>0</v>
      </c>
      <c r="T31" s="31">
        <v>0</v>
      </c>
    </row>
    <row r="32" spans="1:24" x14ac:dyDescent="0.25">
      <c r="A32" s="12" t="s">
        <v>27</v>
      </c>
      <c r="B32" s="12">
        <f t="shared" si="10"/>
        <v>2961.25</v>
      </c>
      <c r="C32" s="12"/>
      <c r="D32" s="27">
        <f t="shared" si="11"/>
        <v>2961.25</v>
      </c>
      <c r="F32" s="12" t="s">
        <v>27</v>
      </c>
      <c r="G32" s="12">
        <f>SUM(K13,N13,Q13,S13,T13,O32,S31,R31,T31)</f>
        <v>4878.75</v>
      </c>
      <c r="H32" s="14"/>
      <c r="I32" s="27">
        <f t="shared" si="8"/>
        <v>4878.75</v>
      </c>
      <c r="L32" s="12" t="s">
        <v>27</v>
      </c>
      <c r="M32" s="14">
        <f>SUM(H41)</f>
        <v>0</v>
      </c>
      <c r="N32" s="14">
        <v>971</v>
      </c>
      <c r="O32" s="14">
        <v>483</v>
      </c>
      <c r="Q32" s="30">
        <v>11</v>
      </c>
      <c r="R32" s="40">
        <v>1619</v>
      </c>
      <c r="S32" s="31">
        <v>0</v>
      </c>
      <c r="T32" s="31">
        <v>0</v>
      </c>
    </row>
    <row r="33" spans="1:20" x14ac:dyDescent="0.25">
      <c r="A33" s="12" t="s">
        <v>28</v>
      </c>
      <c r="B33" s="12">
        <f t="shared" si="10"/>
        <v>3051.25</v>
      </c>
      <c r="C33" s="12"/>
      <c r="D33" s="27">
        <f t="shared" si="11"/>
        <v>3051.25</v>
      </c>
      <c r="F33" s="12" t="s">
        <v>28</v>
      </c>
      <c r="G33" s="12">
        <f>SUM(K14,N14,Q14,S14,T14,O33,S32,R32,T32)</f>
        <v>5551.75</v>
      </c>
      <c r="H33" s="14"/>
      <c r="I33" s="27">
        <f t="shared" si="8"/>
        <v>5551.75</v>
      </c>
      <c r="L33" s="12" t="s">
        <v>28</v>
      </c>
      <c r="M33" s="14">
        <f>SUM(H41)</f>
        <v>0</v>
      </c>
      <c r="N33" s="14">
        <v>971</v>
      </c>
      <c r="O33" s="14">
        <v>1545</v>
      </c>
      <c r="Q33" s="30">
        <v>12</v>
      </c>
      <c r="R33" s="40">
        <v>0</v>
      </c>
      <c r="S33" s="31">
        <v>0</v>
      </c>
      <c r="T33" s="31">
        <v>0</v>
      </c>
    </row>
    <row r="34" spans="1:20" x14ac:dyDescent="0.25">
      <c r="A34" s="12" t="s">
        <v>29</v>
      </c>
      <c r="B34" s="12">
        <f t="shared" si="10"/>
        <v>2882.25</v>
      </c>
      <c r="C34" s="12"/>
      <c r="D34" s="27">
        <f t="shared" si="11"/>
        <v>2882.25</v>
      </c>
      <c r="F34" s="12" t="s">
        <v>29</v>
      </c>
      <c r="G34" s="12">
        <f>SUM(K15,N15,Q15,S15,T15,O34,S33,R33,T33)</f>
        <v>3005.75</v>
      </c>
      <c r="H34" s="14"/>
      <c r="I34" s="27">
        <f t="shared" si="8"/>
        <v>3005.75</v>
      </c>
      <c r="L34" s="12" t="s">
        <v>29</v>
      </c>
      <c r="M34" s="14">
        <f>SUM(H41)</f>
        <v>0</v>
      </c>
      <c r="N34" s="14">
        <v>971</v>
      </c>
      <c r="O34" s="14">
        <v>858</v>
      </c>
    </row>
    <row r="35" spans="1:20" x14ac:dyDescent="0.25">
      <c r="A35" s="9" t="s">
        <v>30</v>
      </c>
      <c r="B35" s="7">
        <f>SUM(B23:B34)</f>
        <v>28796.799999999999</v>
      </c>
      <c r="C35" s="3"/>
      <c r="D35" s="7">
        <f>SUM(D23:D34)</f>
        <v>28796.799999999999</v>
      </c>
      <c r="F35" s="9" t="s">
        <v>30</v>
      </c>
      <c r="G35" s="7">
        <f>SUM(G23:G34)</f>
        <v>54419.8</v>
      </c>
      <c r="I35" s="7">
        <f>SUM(I23:I34)</f>
        <v>54419.8</v>
      </c>
    </row>
    <row r="36" spans="1:20" x14ac:dyDescent="0.25">
      <c r="C36" s="3"/>
      <c r="D36" s="3"/>
      <c r="Q36" s="52"/>
    </row>
    <row r="39" spans="1:20" x14ac:dyDescent="0.25">
      <c r="B39" s="48" t="s">
        <v>41</v>
      </c>
      <c r="C39" s="3"/>
    </row>
    <row r="40" spans="1:20" x14ac:dyDescent="0.25">
      <c r="A40" s="10" t="s">
        <v>5</v>
      </c>
      <c r="B40" s="10"/>
      <c r="C40" s="10" t="s">
        <v>32</v>
      </c>
      <c r="D40" s="10" t="s">
        <v>33</v>
      </c>
      <c r="F40" s="28" t="s">
        <v>37</v>
      </c>
      <c r="G40" s="33" t="s">
        <v>49</v>
      </c>
      <c r="H40" s="33" t="s">
        <v>38</v>
      </c>
      <c r="L40" s="35"/>
      <c r="M40" s="35" t="s">
        <v>47</v>
      </c>
    </row>
    <row r="41" spans="1:20" x14ac:dyDescent="0.25">
      <c r="A41" s="12" t="s">
        <v>14</v>
      </c>
      <c r="B41" s="12">
        <f>SUM(J4,M4)</f>
        <v>1238.55</v>
      </c>
      <c r="C41" s="12"/>
      <c r="D41" s="27">
        <f>SUM(B41,C41)</f>
        <v>1238.55</v>
      </c>
      <c r="F41" s="28"/>
      <c r="G41" s="33"/>
      <c r="H41" s="33"/>
      <c r="L41" s="35">
        <v>1</v>
      </c>
      <c r="M41" s="35">
        <f>SUM(B23,G23,B41)</f>
        <v>5121.1499999999996</v>
      </c>
    </row>
    <row r="42" spans="1:20" x14ac:dyDescent="0.25">
      <c r="A42" s="12" t="s">
        <v>17</v>
      </c>
      <c r="B42" s="12">
        <f>SUM(J5,M5)</f>
        <v>1370.25</v>
      </c>
      <c r="C42" s="12"/>
      <c r="D42" s="27">
        <f t="shared" ref="D42:D52" si="13">SUM(B42,C42)</f>
        <v>1370.25</v>
      </c>
      <c r="L42" s="35">
        <v>2</v>
      </c>
      <c r="M42" s="35">
        <f t="shared" ref="M42:M52" si="14">SUM(B24,G24,B42)</f>
        <v>6140.75</v>
      </c>
    </row>
    <row r="43" spans="1:20" x14ac:dyDescent="0.25">
      <c r="A43" s="12" t="s">
        <v>19</v>
      </c>
      <c r="B43" s="12">
        <f>SUM(J6,M6)</f>
        <v>1370.25</v>
      </c>
      <c r="C43" s="12"/>
      <c r="D43" s="27">
        <f t="shared" si="13"/>
        <v>1370.25</v>
      </c>
      <c r="L43" s="35">
        <v>3</v>
      </c>
      <c r="M43" s="35">
        <f t="shared" si="14"/>
        <v>10273.75</v>
      </c>
      <c r="P43" s="39"/>
    </row>
    <row r="44" spans="1:20" x14ac:dyDescent="0.25">
      <c r="A44" s="12" t="s">
        <v>20</v>
      </c>
      <c r="B44" s="12">
        <f>SUM(J7,M7)</f>
        <v>1306.25</v>
      </c>
      <c r="C44" s="12"/>
      <c r="D44" s="27">
        <f t="shared" si="13"/>
        <v>1306.25</v>
      </c>
      <c r="L44" s="35">
        <v>4</v>
      </c>
      <c r="M44" s="35">
        <f t="shared" si="14"/>
        <v>8318.25</v>
      </c>
    </row>
    <row r="45" spans="1:20" x14ac:dyDescent="0.25">
      <c r="A45" s="12" t="s">
        <v>21</v>
      </c>
      <c r="B45" s="12">
        <f>SUM(J8,M8)</f>
        <v>1470.25</v>
      </c>
      <c r="C45" s="12"/>
      <c r="D45" s="27">
        <f t="shared" si="13"/>
        <v>1470.25</v>
      </c>
      <c r="L45" s="35">
        <v>5</v>
      </c>
      <c r="M45" s="35">
        <f t="shared" si="14"/>
        <v>8456.25</v>
      </c>
    </row>
    <row r="46" spans="1:20" x14ac:dyDescent="0.25">
      <c r="A46" s="12" t="s">
        <v>22</v>
      </c>
      <c r="B46" s="12">
        <f t="shared" ref="B46:B51" si="15">SUM(J9,M9)</f>
        <v>1370.25</v>
      </c>
      <c r="C46" s="12"/>
      <c r="D46" s="27">
        <f t="shared" si="13"/>
        <v>1370.25</v>
      </c>
      <c r="L46" s="35">
        <v>6</v>
      </c>
      <c r="M46" s="35">
        <f t="shared" si="14"/>
        <v>8353.25</v>
      </c>
    </row>
    <row r="47" spans="1:20" x14ac:dyDescent="0.25">
      <c r="A47" s="12" t="s">
        <v>23</v>
      </c>
      <c r="B47" s="12">
        <f t="shared" si="15"/>
        <v>1370.25</v>
      </c>
      <c r="C47" s="12"/>
      <c r="D47" s="27">
        <f t="shared" si="13"/>
        <v>1370.25</v>
      </c>
      <c r="L47" s="35">
        <v>7</v>
      </c>
      <c r="M47" s="35">
        <f t="shared" si="14"/>
        <v>7962.25</v>
      </c>
    </row>
    <row r="48" spans="1:20" x14ac:dyDescent="0.25">
      <c r="A48" s="12" t="s">
        <v>24</v>
      </c>
      <c r="B48" s="12">
        <f t="shared" si="15"/>
        <v>1370.25</v>
      </c>
      <c r="C48" s="12"/>
      <c r="D48" s="27">
        <f t="shared" si="13"/>
        <v>1370.25</v>
      </c>
      <c r="L48" s="35">
        <v>8</v>
      </c>
      <c r="M48" s="35">
        <f t="shared" si="14"/>
        <v>8333.25</v>
      </c>
    </row>
    <row r="49" spans="1:13" x14ac:dyDescent="0.25">
      <c r="A49" s="12" t="s">
        <v>26</v>
      </c>
      <c r="B49" s="12">
        <f t="shared" si="15"/>
        <v>1470.25</v>
      </c>
      <c r="C49" s="12"/>
      <c r="D49" s="27">
        <f t="shared" si="13"/>
        <v>1470.25</v>
      </c>
      <c r="L49" s="35">
        <v>9</v>
      </c>
      <c r="M49" s="35">
        <f>SUM(B31,G31,B49)</f>
        <v>10263.25</v>
      </c>
    </row>
    <row r="50" spans="1:13" x14ac:dyDescent="0.25">
      <c r="A50" s="12" t="s">
        <v>27</v>
      </c>
      <c r="B50" s="12">
        <f>SUM(J13,M13)</f>
        <v>1370.25</v>
      </c>
      <c r="C50" s="12"/>
      <c r="D50" s="27">
        <f t="shared" si="13"/>
        <v>1370.25</v>
      </c>
      <c r="L50" s="35">
        <v>10</v>
      </c>
      <c r="M50" s="35">
        <f t="shared" si="14"/>
        <v>9210.25</v>
      </c>
    </row>
    <row r="51" spans="1:13" x14ac:dyDescent="0.25">
      <c r="A51" s="12" t="s">
        <v>28</v>
      </c>
      <c r="B51" s="12">
        <f t="shared" si="15"/>
        <v>1460.25</v>
      </c>
      <c r="C51" s="12"/>
      <c r="D51" s="27">
        <f t="shared" si="13"/>
        <v>1460.25</v>
      </c>
      <c r="L51" s="35">
        <v>11</v>
      </c>
      <c r="M51" s="35">
        <f>SUM(B33,G33,B51)</f>
        <v>10063.25</v>
      </c>
    </row>
    <row r="52" spans="1:13" x14ac:dyDescent="0.25">
      <c r="A52" s="12" t="s">
        <v>29</v>
      </c>
      <c r="B52" s="12">
        <f>SUM(J15,M15)</f>
        <v>1291.25</v>
      </c>
      <c r="C52" s="12"/>
      <c r="D52" s="27">
        <f t="shared" si="13"/>
        <v>1291.25</v>
      </c>
      <c r="L52" s="34">
        <v>12</v>
      </c>
      <c r="M52" s="35">
        <f t="shared" si="14"/>
        <v>7179.25</v>
      </c>
    </row>
    <row r="53" spans="1:13" x14ac:dyDescent="0.25">
      <c r="A53" s="9" t="s">
        <v>30</v>
      </c>
      <c r="B53" s="7">
        <f>SUM(B41:B52)</f>
        <v>16458.3</v>
      </c>
      <c r="C53" s="3"/>
      <c r="D53" s="7">
        <f>SUM(D41:D52)</f>
        <v>16458.3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workbookViewId="0">
      <selection activeCell="K15" sqref="I15:K15"/>
    </sheetView>
  </sheetViews>
  <sheetFormatPr baseColWidth="10" defaultRowHeight="15" x14ac:dyDescent="0.25"/>
  <cols>
    <col min="1" max="16384" width="11.42578125" style="53"/>
  </cols>
  <sheetData>
    <row r="1" spans="1:20" x14ac:dyDescent="0.25">
      <c r="B1" s="3"/>
      <c r="C1" s="3"/>
      <c r="D1" s="77" t="s">
        <v>6</v>
      </c>
      <c r="E1" s="59">
        <v>6200</v>
      </c>
    </row>
    <row r="2" spans="1:20" x14ac:dyDescent="0.25">
      <c r="B2" s="3"/>
      <c r="C2" s="3"/>
      <c r="D2" s="3"/>
      <c r="I2" s="5" t="s">
        <v>43</v>
      </c>
      <c r="J2" s="54"/>
      <c r="K2" s="54"/>
      <c r="L2" s="5" t="s">
        <v>44</v>
      </c>
      <c r="M2" s="54"/>
      <c r="N2" s="54"/>
      <c r="O2" s="5" t="s">
        <v>45</v>
      </c>
      <c r="P2" s="54"/>
      <c r="Q2" s="54"/>
      <c r="R2" s="5" t="s">
        <v>46</v>
      </c>
      <c r="T2" s="5" t="s">
        <v>42</v>
      </c>
    </row>
    <row r="3" spans="1:20" x14ac:dyDescent="0.25">
      <c r="A3" s="55" t="s">
        <v>5</v>
      </c>
      <c r="B3" s="55" t="s">
        <v>6</v>
      </c>
      <c r="C3" s="55" t="s">
        <v>7</v>
      </c>
      <c r="D3" s="55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56" t="s">
        <v>41</v>
      </c>
      <c r="K3" s="11" t="s">
        <v>13</v>
      </c>
      <c r="L3" s="10" t="s">
        <v>12</v>
      </c>
      <c r="M3" s="56" t="s">
        <v>41</v>
      </c>
      <c r="N3" s="11" t="s">
        <v>13</v>
      </c>
      <c r="O3" s="10" t="s">
        <v>12</v>
      </c>
      <c r="P3" s="56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0" x14ac:dyDescent="0.25">
      <c r="A4" s="12" t="s">
        <v>14</v>
      </c>
      <c r="B4" s="12">
        <v>4525</v>
      </c>
      <c r="C4" s="12">
        <v>1081</v>
      </c>
      <c r="D4" s="12">
        <v>1598</v>
      </c>
      <c r="E4" s="57">
        <v>762.68</v>
      </c>
      <c r="F4" s="58">
        <f>CUENTAS!B17</f>
        <v>630</v>
      </c>
      <c r="G4" s="57">
        <f t="shared" ref="G4:G16" si="0">SUM(B4:F4)</f>
        <v>8596.68</v>
      </c>
      <c r="I4" s="58">
        <v>889</v>
      </c>
      <c r="J4" s="58">
        <v>889</v>
      </c>
      <c r="K4" s="58">
        <v>969</v>
      </c>
      <c r="L4" s="58">
        <f>C4/4</f>
        <v>270.25</v>
      </c>
      <c r="M4" s="58">
        <f>C4/4</f>
        <v>270.25</v>
      </c>
      <c r="N4" s="58">
        <f>C4/4</f>
        <v>270.25</v>
      </c>
      <c r="O4" s="58">
        <f>D4/4</f>
        <v>399.5</v>
      </c>
      <c r="P4" s="58">
        <f>D4/4</f>
        <v>399.5</v>
      </c>
      <c r="Q4" s="58">
        <f>D4/4</f>
        <v>399.5</v>
      </c>
      <c r="R4" s="58">
        <f>E4/4</f>
        <v>190.67</v>
      </c>
      <c r="S4" s="58">
        <f>E4/4</f>
        <v>190.67</v>
      </c>
      <c r="T4" s="58">
        <f>F4/4</f>
        <v>157.5</v>
      </c>
    </row>
    <row r="5" spans="1:20" x14ac:dyDescent="0.25">
      <c r="A5" s="12" t="s">
        <v>17</v>
      </c>
      <c r="B5" s="12">
        <v>6408</v>
      </c>
      <c r="C5" s="12">
        <v>1081</v>
      </c>
      <c r="D5" s="12">
        <v>1598</v>
      </c>
      <c r="E5" s="57">
        <v>762.68</v>
      </c>
      <c r="F5" s="58">
        <f>CUENTAS!B17</f>
        <v>630</v>
      </c>
      <c r="G5" s="57">
        <f t="shared" si="0"/>
        <v>10479.68</v>
      </c>
      <c r="I5" s="58">
        <v>1100</v>
      </c>
      <c r="J5" s="58">
        <v>1100</v>
      </c>
      <c r="K5" s="58">
        <v>1656</v>
      </c>
      <c r="L5" s="58">
        <f t="shared" ref="L5:L15" si="1">C5/4</f>
        <v>270.25</v>
      </c>
      <c r="M5" s="58">
        <f t="shared" ref="M5:M15" si="2">C5/4</f>
        <v>270.25</v>
      </c>
      <c r="N5" s="58">
        <f t="shared" ref="N5:O15" si="3">C5/4</f>
        <v>270.25</v>
      </c>
      <c r="O5" s="58">
        <f t="shared" si="3"/>
        <v>399.5</v>
      </c>
      <c r="P5" s="58">
        <f t="shared" ref="P5:P15" si="4">D5/4</f>
        <v>399.5</v>
      </c>
      <c r="Q5" s="58">
        <f t="shared" ref="Q5:R15" si="5">D5/4</f>
        <v>399.5</v>
      </c>
      <c r="R5" s="58">
        <f t="shared" si="5"/>
        <v>190.67</v>
      </c>
      <c r="S5" s="58">
        <f t="shared" ref="S5:T15" si="6">E5/4</f>
        <v>190.67</v>
      </c>
      <c r="T5" s="58">
        <f t="shared" si="6"/>
        <v>157.5</v>
      </c>
    </row>
    <row r="6" spans="1:20" x14ac:dyDescent="0.25">
      <c r="A6" s="12" t="s">
        <v>19</v>
      </c>
      <c r="B6" s="12">
        <v>6922</v>
      </c>
      <c r="C6" s="12">
        <v>1081</v>
      </c>
      <c r="D6" s="12">
        <v>1598</v>
      </c>
      <c r="E6" s="57">
        <v>762.68</v>
      </c>
      <c r="F6" s="58">
        <f>CUENTAS!B17</f>
        <v>630</v>
      </c>
      <c r="G6" s="57">
        <f t="shared" si="0"/>
        <v>10993.68</v>
      </c>
      <c r="I6" s="58">
        <v>1140</v>
      </c>
      <c r="J6" s="58">
        <v>1140</v>
      </c>
      <c r="K6" s="58">
        <v>1634</v>
      </c>
      <c r="L6" s="58">
        <f t="shared" si="1"/>
        <v>270.25</v>
      </c>
      <c r="M6" s="58">
        <f t="shared" si="2"/>
        <v>270.25</v>
      </c>
      <c r="N6" s="58">
        <f t="shared" si="3"/>
        <v>270.25</v>
      </c>
      <c r="O6" s="58">
        <f t="shared" si="3"/>
        <v>399.5</v>
      </c>
      <c r="P6" s="58">
        <f t="shared" si="4"/>
        <v>399.5</v>
      </c>
      <c r="Q6" s="58">
        <f t="shared" si="5"/>
        <v>399.5</v>
      </c>
      <c r="R6" s="58">
        <f t="shared" si="5"/>
        <v>190.67</v>
      </c>
      <c r="S6" s="58">
        <f t="shared" si="6"/>
        <v>190.67</v>
      </c>
      <c r="T6" s="58">
        <f t="shared" si="6"/>
        <v>157.5</v>
      </c>
    </row>
    <row r="7" spans="1:20" x14ac:dyDescent="0.25">
      <c r="A7" s="12" t="s">
        <v>20</v>
      </c>
      <c r="B7" s="12">
        <v>5721</v>
      </c>
      <c r="C7" s="12">
        <v>1570</v>
      </c>
      <c r="D7" s="12">
        <v>1598</v>
      </c>
      <c r="E7" s="57">
        <v>762.68</v>
      </c>
      <c r="F7" s="58">
        <f>CUENTAS!B17</f>
        <v>630</v>
      </c>
      <c r="G7" s="57">
        <f t="shared" si="0"/>
        <v>10281.68</v>
      </c>
      <c r="I7" s="58">
        <v>1044</v>
      </c>
      <c r="J7" s="58">
        <v>1044</v>
      </c>
      <c r="K7" s="58">
        <v>1294</v>
      </c>
      <c r="L7" s="58">
        <f t="shared" si="1"/>
        <v>392.5</v>
      </c>
      <c r="M7" s="58">
        <f t="shared" si="2"/>
        <v>392.5</v>
      </c>
      <c r="N7" s="58">
        <f t="shared" si="3"/>
        <v>392.5</v>
      </c>
      <c r="O7" s="58">
        <f t="shared" si="3"/>
        <v>399.5</v>
      </c>
      <c r="P7" s="58">
        <f t="shared" si="4"/>
        <v>399.5</v>
      </c>
      <c r="Q7" s="58">
        <f t="shared" si="5"/>
        <v>399.5</v>
      </c>
      <c r="R7" s="58">
        <f t="shared" si="5"/>
        <v>190.67</v>
      </c>
      <c r="S7" s="58">
        <f t="shared" si="6"/>
        <v>190.67</v>
      </c>
      <c r="T7" s="58">
        <f t="shared" si="6"/>
        <v>157.5</v>
      </c>
    </row>
    <row r="8" spans="1:20" x14ac:dyDescent="0.25">
      <c r="A8" s="12" t="s">
        <v>21</v>
      </c>
      <c r="B8" s="12">
        <v>5628</v>
      </c>
      <c r="C8" s="12">
        <v>1146</v>
      </c>
      <c r="D8" s="12">
        <v>1598</v>
      </c>
      <c r="E8" s="57">
        <v>762.68</v>
      </c>
      <c r="F8" s="58">
        <f>CUENTAS!B17</f>
        <v>630</v>
      </c>
      <c r="G8" s="57">
        <f t="shared" si="0"/>
        <v>9764.68</v>
      </c>
      <c r="I8" s="58">
        <v>1026</v>
      </c>
      <c r="J8" s="58">
        <v>1026</v>
      </c>
      <c r="K8" s="58">
        <v>1276</v>
      </c>
      <c r="L8" s="58">
        <f t="shared" si="1"/>
        <v>286.5</v>
      </c>
      <c r="M8" s="58">
        <f t="shared" si="2"/>
        <v>286.5</v>
      </c>
      <c r="N8" s="58">
        <f t="shared" si="3"/>
        <v>286.5</v>
      </c>
      <c r="O8" s="58">
        <f t="shared" si="3"/>
        <v>399.5</v>
      </c>
      <c r="P8" s="58">
        <f t="shared" si="4"/>
        <v>399.5</v>
      </c>
      <c r="Q8" s="58">
        <f t="shared" si="5"/>
        <v>399.5</v>
      </c>
      <c r="R8" s="58">
        <f t="shared" si="5"/>
        <v>190.67</v>
      </c>
      <c r="S8" s="58">
        <f t="shared" si="6"/>
        <v>190.67</v>
      </c>
      <c r="T8" s="58">
        <f t="shared" si="6"/>
        <v>157.5</v>
      </c>
    </row>
    <row r="9" spans="1:20" x14ac:dyDescent="0.25">
      <c r="A9" s="12" t="s">
        <v>22</v>
      </c>
      <c r="B9" s="12">
        <v>5798</v>
      </c>
      <c r="C9" s="12">
        <v>1570</v>
      </c>
      <c r="D9" s="12">
        <v>1598</v>
      </c>
      <c r="E9" s="57">
        <v>762.68</v>
      </c>
      <c r="F9" s="58">
        <f>CUENTAS!B17</f>
        <v>630</v>
      </c>
      <c r="G9" s="57">
        <f t="shared" si="0"/>
        <v>10358.68</v>
      </c>
      <c r="I9" s="58">
        <v>1059</v>
      </c>
      <c r="J9" s="58">
        <v>1059</v>
      </c>
      <c r="K9" s="58">
        <v>1309</v>
      </c>
      <c r="L9" s="58">
        <f t="shared" si="1"/>
        <v>392.5</v>
      </c>
      <c r="M9" s="58">
        <f t="shared" si="2"/>
        <v>392.5</v>
      </c>
      <c r="N9" s="58">
        <f t="shared" si="3"/>
        <v>392.5</v>
      </c>
      <c r="O9" s="58">
        <f t="shared" si="3"/>
        <v>399.5</v>
      </c>
      <c r="P9" s="58">
        <f t="shared" si="4"/>
        <v>399.5</v>
      </c>
      <c r="Q9" s="58">
        <f t="shared" si="5"/>
        <v>399.5</v>
      </c>
      <c r="R9" s="58">
        <f t="shared" si="5"/>
        <v>190.67</v>
      </c>
      <c r="S9" s="58">
        <f t="shared" si="6"/>
        <v>190.67</v>
      </c>
      <c r="T9" s="58">
        <f t="shared" si="6"/>
        <v>157.5</v>
      </c>
    </row>
    <row r="10" spans="1:20" x14ac:dyDescent="0.25">
      <c r="A10" s="12" t="s">
        <v>23</v>
      </c>
      <c r="B10" s="12">
        <v>7479</v>
      </c>
      <c r="C10" s="12">
        <v>1146</v>
      </c>
      <c r="D10" s="12">
        <v>1598</v>
      </c>
      <c r="E10" s="57">
        <v>762.68</v>
      </c>
      <c r="F10" s="58">
        <f>CUENTAS!B17</f>
        <v>630</v>
      </c>
      <c r="G10" s="57">
        <f t="shared" si="0"/>
        <v>11615.68</v>
      </c>
      <c r="I10" s="58">
        <v>1140</v>
      </c>
      <c r="J10" s="58">
        <v>1140</v>
      </c>
      <c r="K10" s="58">
        <v>1947</v>
      </c>
      <c r="L10" s="58">
        <f t="shared" si="1"/>
        <v>286.5</v>
      </c>
      <c r="M10" s="58">
        <f t="shared" si="2"/>
        <v>286.5</v>
      </c>
      <c r="N10" s="58">
        <f t="shared" si="3"/>
        <v>286.5</v>
      </c>
      <c r="O10" s="58">
        <f t="shared" si="3"/>
        <v>399.5</v>
      </c>
      <c r="P10" s="58">
        <f t="shared" si="4"/>
        <v>399.5</v>
      </c>
      <c r="Q10" s="58">
        <f t="shared" si="5"/>
        <v>399.5</v>
      </c>
      <c r="R10" s="58">
        <f t="shared" si="5"/>
        <v>190.67</v>
      </c>
      <c r="S10" s="58">
        <f t="shared" si="6"/>
        <v>190.67</v>
      </c>
      <c r="T10" s="58">
        <f t="shared" si="6"/>
        <v>157.5</v>
      </c>
    </row>
    <row r="11" spans="1:20" x14ac:dyDescent="0.25">
      <c r="A11" s="12" t="s">
        <v>24</v>
      </c>
      <c r="B11" s="12">
        <v>7734</v>
      </c>
      <c r="C11" s="12">
        <v>1146</v>
      </c>
      <c r="D11" s="12">
        <v>1598</v>
      </c>
      <c r="E11" s="57">
        <v>762.68</v>
      </c>
      <c r="F11" s="58">
        <f>CUENTAS!B17</f>
        <v>630</v>
      </c>
      <c r="G11" s="57">
        <f t="shared" si="0"/>
        <v>11870.68</v>
      </c>
      <c r="I11" s="58">
        <v>1140</v>
      </c>
      <c r="J11" s="58">
        <v>1140</v>
      </c>
      <c r="K11" s="58">
        <v>2150</v>
      </c>
      <c r="L11" s="58">
        <f t="shared" si="1"/>
        <v>286.5</v>
      </c>
      <c r="M11" s="58">
        <f t="shared" si="2"/>
        <v>286.5</v>
      </c>
      <c r="N11" s="58">
        <f t="shared" si="3"/>
        <v>286.5</v>
      </c>
      <c r="O11" s="58">
        <f t="shared" si="3"/>
        <v>399.5</v>
      </c>
      <c r="P11" s="58">
        <f t="shared" si="4"/>
        <v>399.5</v>
      </c>
      <c r="Q11" s="58">
        <f t="shared" si="5"/>
        <v>399.5</v>
      </c>
      <c r="R11" s="58">
        <f t="shared" si="5"/>
        <v>190.67</v>
      </c>
      <c r="S11" s="58">
        <f t="shared" si="6"/>
        <v>190.67</v>
      </c>
      <c r="T11" s="58">
        <f t="shared" si="6"/>
        <v>157.5</v>
      </c>
    </row>
    <row r="12" spans="1:20" x14ac:dyDescent="0.25">
      <c r="A12" s="12" t="s">
        <v>26</v>
      </c>
      <c r="B12" s="12">
        <v>7270</v>
      </c>
      <c r="C12" s="12">
        <v>1146</v>
      </c>
      <c r="D12" s="12">
        <v>1598</v>
      </c>
      <c r="E12" s="57">
        <v>762.68</v>
      </c>
      <c r="F12" s="58">
        <f>CUENTAS!B17</f>
        <v>630</v>
      </c>
      <c r="G12" s="57">
        <f t="shared" si="0"/>
        <v>11406.68</v>
      </c>
      <c r="I12" s="58">
        <v>1140</v>
      </c>
      <c r="J12" s="58">
        <v>1140</v>
      </c>
      <c r="K12" s="58">
        <v>2006</v>
      </c>
      <c r="L12" s="58">
        <f t="shared" si="1"/>
        <v>286.5</v>
      </c>
      <c r="M12" s="58">
        <f t="shared" si="2"/>
        <v>286.5</v>
      </c>
      <c r="N12" s="58">
        <f t="shared" si="3"/>
        <v>286.5</v>
      </c>
      <c r="O12" s="58">
        <f t="shared" si="3"/>
        <v>399.5</v>
      </c>
      <c r="P12" s="58">
        <f t="shared" si="4"/>
        <v>399.5</v>
      </c>
      <c r="Q12" s="58">
        <f t="shared" si="5"/>
        <v>399.5</v>
      </c>
      <c r="R12" s="58">
        <f t="shared" si="5"/>
        <v>190.67</v>
      </c>
      <c r="S12" s="58">
        <f t="shared" si="6"/>
        <v>190.67</v>
      </c>
      <c r="T12" s="58">
        <f t="shared" si="6"/>
        <v>157.5</v>
      </c>
    </row>
    <row r="13" spans="1:20" x14ac:dyDescent="0.25">
      <c r="A13" s="12" t="s">
        <v>27</v>
      </c>
      <c r="B13" s="12">
        <v>7106</v>
      </c>
      <c r="C13" s="12">
        <v>1146</v>
      </c>
      <c r="D13" s="12">
        <v>1598</v>
      </c>
      <c r="E13" s="57">
        <v>762.68</v>
      </c>
      <c r="F13" s="58">
        <f>CUENTAS!B17</f>
        <v>630</v>
      </c>
      <c r="G13" s="57">
        <f t="shared" si="0"/>
        <v>11242.68</v>
      </c>
      <c r="I13" s="58">
        <v>1140</v>
      </c>
      <c r="J13" s="58">
        <v>1140</v>
      </c>
      <c r="K13" s="58">
        <v>2007</v>
      </c>
      <c r="L13" s="58">
        <f t="shared" si="1"/>
        <v>286.5</v>
      </c>
      <c r="M13" s="58">
        <f t="shared" si="2"/>
        <v>286.5</v>
      </c>
      <c r="N13" s="58">
        <f t="shared" si="3"/>
        <v>286.5</v>
      </c>
      <c r="O13" s="58">
        <f t="shared" si="3"/>
        <v>399.5</v>
      </c>
      <c r="P13" s="58">
        <f t="shared" si="4"/>
        <v>399.5</v>
      </c>
      <c r="Q13" s="58">
        <f t="shared" si="5"/>
        <v>399.5</v>
      </c>
      <c r="R13" s="58">
        <f t="shared" si="5"/>
        <v>190.67</v>
      </c>
      <c r="S13" s="58">
        <f t="shared" si="6"/>
        <v>190.67</v>
      </c>
      <c r="T13" s="58">
        <f t="shared" si="6"/>
        <v>157.5</v>
      </c>
    </row>
    <row r="14" spans="1:20" x14ac:dyDescent="0.25">
      <c r="A14" s="12" t="s">
        <v>28</v>
      </c>
      <c r="B14" s="12">
        <v>6450</v>
      </c>
      <c r="C14" s="12">
        <v>1146</v>
      </c>
      <c r="D14" s="12">
        <v>1598</v>
      </c>
      <c r="E14" s="57">
        <v>762.68</v>
      </c>
      <c r="F14" s="58">
        <f>CUENTAS!B17</f>
        <v>630</v>
      </c>
      <c r="G14" s="57">
        <f t="shared" si="0"/>
        <v>10586.68</v>
      </c>
      <c r="I14" s="58">
        <v>1140</v>
      </c>
      <c r="J14" s="58">
        <v>1140</v>
      </c>
      <c r="K14" s="58">
        <v>1482</v>
      </c>
      <c r="L14" s="58">
        <f t="shared" si="1"/>
        <v>286.5</v>
      </c>
      <c r="M14" s="58">
        <f t="shared" si="2"/>
        <v>286.5</v>
      </c>
      <c r="N14" s="58">
        <f t="shared" si="3"/>
        <v>286.5</v>
      </c>
      <c r="O14" s="58">
        <f t="shared" si="3"/>
        <v>399.5</v>
      </c>
      <c r="P14" s="58">
        <f t="shared" si="4"/>
        <v>399.5</v>
      </c>
      <c r="Q14" s="58">
        <f t="shared" si="5"/>
        <v>399.5</v>
      </c>
      <c r="R14" s="58">
        <f t="shared" si="5"/>
        <v>190.67</v>
      </c>
      <c r="S14" s="58">
        <f t="shared" si="6"/>
        <v>190.67</v>
      </c>
      <c r="T14" s="58">
        <f t="shared" si="6"/>
        <v>157.5</v>
      </c>
    </row>
    <row r="15" spans="1:20" x14ac:dyDescent="0.25">
      <c r="A15" s="12" t="s">
        <v>29</v>
      </c>
      <c r="B15" s="12">
        <v>5973</v>
      </c>
      <c r="C15" s="12">
        <v>1146</v>
      </c>
      <c r="D15" s="12">
        <v>1598</v>
      </c>
      <c r="E15" s="57">
        <v>762.68</v>
      </c>
      <c r="F15" s="58">
        <f>CUENTAS!B17</f>
        <v>630</v>
      </c>
      <c r="G15" s="57">
        <f t="shared" si="0"/>
        <v>10109.68</v>
      </c>
      <c r="I15" s="58">
        <v>1094</v>
      </c>
      <c r="J15" s="58">
        <v>1094</v>
      </c>
      <c r="K15" s="58">
        <v>1323</v>
      </c>
      <c r="L15" s="58">
        <f t="shared" si="1"/>
        <v>286.5</v>
      </c>
      <c r="M15" s="58">
        <f t="shared" si="2"/>
        <v>286.5</v>
      </c>
      <c r="N15" s="58">
        <f t="shared" si="3"/>
        <v>286.5</v>
      </c>
      <c r="O15" s="58">
        <f t="shared" si="3"/>
        <v>399.5</v>
      </c>
      <c r="P15" s="58">
        <f t="shared" si="4"/>
        <v>399.5</v>
      </c>
      <c r="Q15" s="58">
        <f t="shared" si="5"/>
        <v>399.5</v>
      </c>
      <c r="R15" s="58">
        <f t="shared" si="5"/>
        <v>190.67</v>
      </c>
      <c r="S15" s="58">
        <f t="shared" si="6"/>
        <v>190.67</v>
      </c>
      <c r="T15" s="58">
        <f t="shared" si="6"/>
        <v>157.5</v>
      </c>
    </row>
    <row r="16" spans="1:20" x14ac:dyDescent="0.25">
      <c r="A16" s="9" t="s">
        <v>30</v>
      </c>
      <c r="B16" s="7">
        <f t="shared" ref="B16:F16" si="7">SUM(B4:B15)</f>
        <v>77014</v>
      </c>
      <c r="C16" s="7">
        <f t="shared" si="7"/>
        <v>14405</v>
      </c>
      <c r="D16" s="7">
        <f t="shared" si="7"/>
        <v>19176</v>
      </c>
      <c r="E16" s="7">
        <f t="shared" si="7"/>
        <v>9152.1600000000017</v>
      </c>
      <c r="F16" s="7">
        <f t="shared" si="7"/>
        <v>7560</v>
      </c>
      <c r="G16" s="22">
        <f t="shared" si="0"/>
        <v>127307.16</v>
      </c>
    </row>
    <row r="17" spans="1:20" x14ac:dyDescent="0.25">
      <c r="B17" s="3"/>
      <c r="C17" s="3"/>
      <c r="D17" s="3"/>
    </row>
    <row r="18" spans="1:20" x14ac:dyDescent="0.25">
      <c r="B18" s="3"/>
      <c r="C18" s="3"/>
      <c r="D18" s="3"/>
    </row>
    <row r="19" spans="1:20" x14ac:dyDescent="0.25">
      <c r="B19" s="3"/>
      <c r="C19" s="3"/>
      <c r="D19" s="3"/>
    </row>
    <row r="20" spans="1:20" x14ac:dyDescent="0.25">
      <c r="B20" s="3"/>
      <c r="C20" s="3"/>
      <c r="D20" s="3"/>
    </row>
    <row r="21" spans="1:20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59"/>
      <c r="R21" s="60" t="s">
        <v>58</v>
      </c>
      <c r="S21" s="60" t="s">
        <v>48</v>
      </c>
      <c r="T21" s="60" t="s">
        <v>51</v>
      </c>
    </row>
    <row r="22" spans="1:20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59">
        <v>1</v>
      </c>
      <c r="R22" s="61">
        <v>0</v>
      </c>
      <c r="S22" s="62">
        <v>2326</v>
      </c>
      <c r="T22" s="61">
        <v>393</v>
      </c>
    </row>
    <row r="23" spans="1:20" x14ac:dyDescent="0.25">
      <c r="A23" s="12" t="s">
        <v>14</v>
      </c>
      <c r="B23" s="12">
        <f>SUM(I4,L4,O4,R4,N23)</f>
        <v>2611.42</v>
      </c>
      <c r="C23" s="12"/>
      <c r="D23" s="27">
        <f>SUM(B23,C23)</f>
        <v>2611.42</v>
      </c>
      <c r="F23" s="12" t="s">
        <v>14</v>
      </c>
      <c r="G23" s="12">
        <f>SUM(K4,N4,Q4,S4,T4,O23,S22,R22,T22)</f>
        <v>7682.92</v>
      </c>
      <c r="H23" s="58"/>
      <c r="I23" s="27">
        <f t="shared" ref="I23:I34" si="8">SUM(G23,H23)</f>
        <v>7682.92</v>
      </c>
      <c r="L23" s="12" t="s">
        <v>14</v>
      </c>
      <c r="M23" s="58">
        <f>SUM(H41)</f>
        <v>0</v>
      </c>
      <c r="N23" s="58">
        <v>862</v>
      </c>
      <c r="O23" s="58">
        <v>2977</v>
      </c>
      <c r="Q23" s="63">
        <v>2</v>
      </c>
      <c r="R23" s="61">
        <v>0</v>
      </c>
      <c r="S23" s="62">
        <v>2979</v>
      </c>
      <c r="T23" s="62">
        <v>142</v>
      </c>
    </row>
    <row r="24" spans="1:20" x14ac:dyDescent="0.25">
      <c r="A24" s="12" t="s">
        <v>17</v>
      </c>
      <c r="B24" s="12">
        <f t="shared" ref="B24:B34" si="9">SUM(I5,L5,O5,R5,N24)</f>
        <v>2822.42</v>
      </c>
      <c r="C24" s="12"/>
      <c r="D24" s="27">
        <f t="shared" ref="D24:D34" si="10">SUM(B24,C24)</f>
        <v>2822.42</v>
      </c>
      <c r="F24" s="12" t="s">
        <v>17</v>
      </c>
      <c r="G24" s="12">
        <f>SUM(K5,N5,Q5,S5,T5,O24,S23,R23,T23)</f>
        <v>7303.92</v>
      </c>
      <c r="H24" s="58"/>
      <c r="I24" s="27">
        <f t="shared" si="8"/>
        <v>7303.92</v>
      </c>
      <c r="L24" s="12" t="s">
        <v>17</v>
      </c>
      <c r="M24" s="58">
        <f>SUM(H41)</f>
        <v>0</v>
      </c>
      <c r="N24" s="58">
        <v>862</v>
      </c>
      <c r="O24" s="58">
        <v>1509</v>
      </c>
      <c r="Q24" s="59">
        <v>3</v>
      </c>
      <c r="R24" s="61">
        <v>0</v>
      </c>
      <c r="S24" s="62">
        <v>1168</v>
      </c>
      <c r="T24" s="62">
        <v>142</v>
      </c>
    </row>
    <row r="25" spans="1:20" x14ac:dyDescent="0.25">
      <c r="A25" s="12" t="s">
        <v>19</v>
      </c>
      <c r="B25" s="12">
        <f t="shared" si="9"/>
        <v>2862.42</v>
      </c>
      <c r="C25" s="12"/>
      <c r="D25" s="27">
        <f t="shared" si="10"/>
        <v>2862.42</v>
      </c>
      <c r="F25" s="12" t="s">
        <v>19</v>
      </c>
      <c r="G25" s="12">
        <f t="shared" ref="G25" si="11">SUM(K6,N6,Q6,S6,T6,O25,S24,R24,T24)</f>
        <v>5728.92</v>
      </c>
      <c r="H25" s="58"/>
      <c r="I25" s="27">
        <f t="shared" si="8"/>
        <v>5728.92</v>
      </c>
      <c r="L25" s="12" t="s">
        <v>19</v>
      </c>
      <c r="M25" s="58">
        <f>SUM(H41)</f>
        <v>0</v>
      </c>
      <c r="N25" s="58">
        <v>862</v>
      </c>
      <c r="O25" s="58">
        <v>1767</v>
      </c>
      <c r="Q25" s="59">
        <v>4</v>
      </c>
      <c r="R25" s="61">
        <v>0</v>
      </c>
      <c r="S25" s="62">
        <v>0</v>
      </c>
      <c r="T25" s="62">
        <v>0</v>
      </c>
    </row>
    <row r="26" spans="1:20" x14ac:dyDescent="0.25">
      <c r="A26" s="12" t="s">
        <v>20</v>
      </c>
      <c r="B26" s="12">
        <f t="shared" si="9"/>
        <v>2888.67</v>
      </c>
      <c r="C26" s="12"/>
      <c r="D26" s="27">
        <f t="shared" si="10"/>
        <v>2888.67</v>
      </c>
      <c r="F26" s="12" t="s">
        <v>20</v>
      </c>
      <c r="G26" s="12">
        <f t="shared" ref="G26:G34" si="12">SUM(K7,N7,Q7,S7,T7,O26,S25,R25,T25)</f>
        <v>4201.17</v>
      </c>
      <c r="H26" s="58"/>
      <c r="I26" s="27">
        <f t="shared" si="8"/>
        <v>4201.17</v>
      </c>
      <c r="L26" s="12" t="s">
        <v>20</v>
      </c>
      <c r="M26" s="58">
        <f>SUM(H41)</f>
        <v>0</v>
      </c>
      <c r="N26" s="58">
        <v>862</v>
      </c>
      <c r="O26" s="58">
        <v>1767</v>
      </c>
      <c r="Q26" s="59">
        <v>5</v>
      </c>
      <c r="R26" s="61">
        <v>0</v>
      </c>
      <c r="S26" s="62">
        <v>0</v>
      </c>
      <c r="T26" s="62">
        <v>0</v>
      </c>
    </row>
    <row r="27" spans="1:20" x14ac:dyDescent="0.25">
      <c r="A27" s="12" t="s">
        <v>21</v>
      </c>
      <c r="B27" s="12">
        <f>SUM(I8,L8,O8,R8,N27)</f>
        <v>2764.67</v>
      </c>
      <c r="C27" s="12"/>
      <c r="D27" s="27">
        <f t="shared" si="10"/>
        <v>2764.67</v>
      </c>
      <c r="F27" s="12" t="s">
        <v>21</v>
      </c>
      <c r="G27" s="12">
        <f t="shared" si="12"/>
        <v>4116.17</v>
      </c>
      <c r="H27" s="58"/>
      <c r="I27" s="27">
        <f t="shared" si="8"/>
        <v>4116.17</v>
      </c>
      <c r="L27" s="12" t="s">
        <v>21</v>
      </c>
      <c r="M27" s="58">
        <f>SUM(H41)</f>
        <v>0</v>
      </c>
      <c r="N27" s="58">
        <v>862</v>
      </c>
      <c r="O27" s="58">
        <v>1806</v>
      </c>
      <c r="Q27" s="59">
        <v>6</v>
      </c>
      <c r="R27" s="61">
        <v>0</v>
      </c>
      <c r="S27" s="62">
        <v>0</v>
      </c>
      <c r="T27" s="62">
        <v>0</v>
      </c>
    </row>
    <row r="28" spans="1:20" x14ac:dyDescent="0.25">
      <c r="A28" s="12" t="s">
        <v>22</v>
      </c>
      <c r="B28" s="12">
        <f t="shared" si="9"/>
        <v>2723.67</v>
      </c>
      <c r="C28" s="12"/>
      <c r="D28" s="27">
        <f t="shared" si="10"/>
        <v>2723.67</v>
      </c>
      <c r="F28" s="12" t="s">
        <v>22</v>
      </c>
      <c r="G28" s="12">
        <f t="shared" si="12"/>
        <v>4216.17</v>
      </c>
      <c r="H28" s="58"/>
      <c r="I28" s="27">
        <f t="shared" si="8"/>
        <v>4216.17</v>
      </c>
      <c r="L28" s="12" t="s">
        <v>22</v>
      </c>
      <c r="M28" s="58">
        <f>SUM(H41)</f>
        <v>0</v>
      </c>
      <c r="N28" s="58">
        <v>682</v>
      </c>
      <c r="O28" s="58">
        <v>1767</v>
      </c>
      <c r="Q28" s="59">
        <v>7</v>
      </c>
      <c r="R28" s="61">
        <v>0</v>
      </c>
      <c r="S28" s="62">
        <v>0</v>
      </c>
      <c r="T28" s="62">
        <v>0</v>
      </c>
    </row>
    <row r="29" spans="1:20" x14ac:dyDescent="0.25">
      <c r="A29" s="12" t="s">
        <v>23</v>
      </c>
      <c r="B29" s="12">
        <f>SUM(I10,L10,O10,R10,N29)</f>
        <v>2698.67</v>
      </c>
      <c r="C29" s="12"/>
      <c r="D29" s="27">
        <f t="shared" si="10"/>
        <v>2698.67</v>
      </c>
      <c r="F29" s="12" t="s">
        <v>23</v>
      </c>
      <c r="G29" s="12">
        <f t="shared" si="12"/>
        <v>2981.17</v>
      </c>
      <c r="H29" s="58"/>
      <c r="I29" s="27">
        <f t="shared" si="8"/>
        <v>2981.17</v>
      </c>
      <c r="L29" s="12" t="s">
        <v>23</v>
      </c>
      <c r="M29" s="58">
        <f>SUM(H41)</f>
        <v>0</v>
      </c>
      <c r="N29" s="58">
        <v>682</v>
      </c>
      <c r="O29" s="58">
        <f t="shared" ref="O29" si="13">M29/3</f>
        <v>0</v>
      </c>
      <c r="Q29" s="59">
        <v>8</v>
      </c>
      <c r="R29" s="61">
        <v>0</v>
      </c>
      <c r="S29" s="62">
        <v>0</v>
      </c>
      <c r="T29" s="62">
        <v>0</v>
      </c>
    </row>
    <row r="30" spans="1:20" x14ac:dyDescent="0.25">
      <c r="A30" s="12" t="s">
        <v>24</v>
      </c>
      <c r="B30" s="12">
        <f>SUM(I11,L11,O11,R11,N30)</f>
        <v>2698.67</v>
      </c>
      <c r="C30" s="12"/>
      <c r="D30" s="27">
        <f t="shared" si="10"/>
        <v>2698.67</v>
      </c>
      <c r="F30" s="12" t="s">
        <v>24</v>
      </c>
      <c r="G30" s="12">
        <f t="shared" si="12"/>
        <v>3184.17</v>
      </c>
      <c r="H30" s="58"/>
      <c r="I30" s="27">
        <f t="shared" si="8"/>
        <v>3184.17</v>
      </c>
      <c r="L30" s="12" t="s">
        <v>24</v>
      </c>
      <c r="M30" s="58">
        <f>SUM(H41)</f>
        <v>0</v>
      </c>
      <c r="N30" s="58">
        <v>682</v>
      </c>
      <c r="O30" s="58">
        <v>0</v>
      </c>
      <c r="Q30" s="59">
        <v>9</v>
      </c>
      <c r="R30" s="61">
        <v>0</v>
      </c>
      <c r="S30" s="62">
        <v>0</v>
      </c>
      <c r="T30" s="62">
        <v>0</v>
      </c>
    </row>
    <row r="31" spans="1:20" x14ac:dyDescent="0.25">
      <c r="A31" s="12" t="s">
        <v>26</v>
      </c>
      <c r="B31" s="12">
        <f>SUM(I12,L12,O12,R12,N31)</f>
        <v>2016.67</v>
      </c>
      <c r="C31" s="12"/>
      <c r="D31" s="27">
        <f t="shared" si="10"/>
        <v>2016.67</v>
      </c>
      <c r="F31" s="12" t="s">
        <v>26</v>
      </c>
      <c r="G31" s="12">
        <f t="shared" si="12"/>
        <v>3040.17</v>
      </c>
      <c r="H31" s="58"/>
      <c r="I31" s="27">
        <f t="shared" si="8"/>
        <v>3040.17</v>
      </c>
      <c r="L31" s="12" t="s">
        <v>26</v>
      </c>
      <c r="M31" s="58">
        <f>SUM(H41)</f>
        <v>0</v>
      </c>
      <c r="N31" s="58">
        <v>0</v>
      </c>
      <c r="O31" s="58">
        <v>0</v>
      </c>
      <c r="Q31" s="59">
        <v>10</v>
      </c>
      <c r="R31" s="61">
        <v>0</v>
      </c>
      <c r="S31" s="62">
        <v>0</v>
      </c>
      <c r="T31" s="62">
        <v>0</v>
      </c>
    </row>
    <row r="32" spans="1:20" x14ac:dyDescent="0.25">
      <c r="A32" s="12" t="s">
        <v>27</v>
      </c>
      <c r="B32" s="12">
        <f t="shared" si="9"/>
        <v>2016.67</v>
      </c>
      <c r="C32" s="12"/>
      <c r="D32" s="27">
        <f t="shared" si="10"/>
        <v>2016.67</v>
      </c>
      <c r="F32" s="12" t="s">
        <v>27</v>
      </c>
      <c r="G32" s="12">
        <f t="shared" si="12"/>
        <v>3041.17</v>
      </c>
      <c r="H32" s="58"/>
      <c r="I32" s="27">
        <f t="shared" si="8"/>
        <v>3041.17</v>
      </c>
      <c r="L32" s="12" t="s">
        <v>27</v>
      </c>
      <c r="M32" s="58">
        <f>SUM(H41)</f>
        <v>0</v>
      </c>
      <c r="N32" s="58">
        <v>0</v>
      </c>
      <c r="O32" s="58">
        <v>0</v>
      </c>
      <c r="Q32" s="59">
        <v>11</v>
      </c>
      <c r="R32" s="61">
        <v>0</v>
      </c>
      <c r="S32" s="62">
        <v>0</v>
      </c>
      <c r="T32" s="62">
        <v>0</v>
      </c>
    </row>
    <row r="33" spans="1:21" x14ac:dyDescent="0.25">
      <c r="A33" s="12" t="s">
        <v>28</v>
      </c>
      <c r="B33" s="12">
        <f t="shared" si="9"/>
        <v>2016.67</v>
      </c>
      <c r="C33" s="12"/>
      <c r="D33" s="27">
        <f t="shared" si="10"/>
        <v>2016.67</v>
      </c>
      <c r="F33" s="12" t="s">
        <v>28</v>
      </c>
      <c r="G33" s="12">
        <f t="shared" si="12"/>
        <v>2516.17</v>
      </c>
      <c r="H33" s="58"/>
      <c r="I33" s="27">
        <f t="shared" si="8"/>
        <v>2516.17</v>
      </c>
      <c r="L33" s="12" t="s">
        <v>28</v>
      </c>
      <c r="M33" s="58">
        <f>SUM(H41)</f>
        <v>0</v>
      </c>
      <c r="N33" s="58">
        <v>0</v>
      </c>
      <c r="O33" s="58">
        <v>0</v>
      </c>
      <c r="Q33" s="59">
        <v>12</v>
      </c>
      <c r="R33" s="61">
        <v>0</v>
      </c>
      <c r="S33" s="62">
        <v>0</v>
      </c>
      <c r="T33" s="62">
        <v>0</v>
      </c>
    </row>
    <row r="34" spans="1:21" x14ac:dyDescent="0.25">
      <c r="A34" s="12" t="s">
        <v>29</v>
      </c>
      <c r="B34" s="12">
        <f t="shared" si="9"/>
        <v>1970.67</v>
      </c>
      <c r="C34" s="12"/>
      <c r="D34" s="27">
        <f t="shared" si="10"/>
        <v>1970.67</v>
      </c>
      <c r="F34" s="12" t="s">
        <v>29</v>
      </c>
      <c r="G34" s="12">
        <f t="shared" si="12"/>
        <v>2357.17</v>
      </c>
      <c r="H34" s="58"/>
      <c r="I34" s="27">
        <f t="shared" si="8"/>
        <v>2357.17</v>
      </c>
      <c r="L34" s="12" t="s">
        <v>29</v>
      </c>
      <c r="M34" s="58">
        <f>SUM(H41)</f>
        <v>0</v>
      </c>
      <c r="N34" s="58">
        <v>0</v>
      </c>
      <c r="O34" s="58">
        <v>0</v>
      </c>
    </row>
    <row r="35" spans="1:21" x14ac:dyDescent="0.25">
      <c r="A35" s="9" t="s">
        <v>30</v>
      </c>
      <c r="B35" s="7">
        <f>SUM(B23:B34)</f>
        <v>30091.289999999994</v>
      </c>
      <c r="C35" s="3"/>
      <c r="D35" s="7">
        <f>SUM(D23:D34)</f>
        <v>30091.289999999994</v>
      </c>
      <c r="F35" s="9" t="s">
        <v>30</v>
      </c>
      <c r="G35" s="7">
        <f>SUM(G23:G34)</f>
        <v>50369.289999999986</v>
      </c>
      <c r="I35" s="7">
        <f>SUM(I23:I34)</f>
        <v>50369.289999999986</v>
      </c>
    </row>
    <row r="36" spans="1:21" x14ac:dyDescent="0.25">
      <c r="C36" s="3"/>
      <c r="D36" s="3"/>
    </row>
    <row r="39" spans="1:21" x14ac:dyDescent="0.25">
      <c r="B39" s="64" t="s">
        <v>41</v>
      </c>
      <c r="C39" s="3"/>
    </row>
    <row r="40" spans="1:21" x14ac:dyDescent="0.25">
      <c r="A40" s="10" t="s">
        <v>5</v>
      </c>
      <c r="B40" s="10"/>
      <c r="C40" s="10" t="s">
        <v>32</v>
      </c>
      <c r="D40" s="10" t="s">
        <v>33</v>
      </c>
      <c r="E40" s="68" t="s">
        <v>15</v>
      </c>
      <c r="L40" s="65"/>
      <c r="M40" s="65" t="s">
        <v>47</v>
      </c>
    </row>
    <row r="41" spans="1:21" x14ac:dyDescent="0.25">
      <c r="A41" s="12" t="s">
        <v>14</v>
      </c>
      <c r="B41" s="12">
        <f>SUM(J4,E41,M4,F41,G41)</f>
        <v>2342.25</v>
      </c>
      <c r="C41" s="12"/>
      <c r="D41" s="69">
        <f>SUM(B41,C41)</f>
        <v>2342.25</v>
      </c>
      <c r="E41" s="73">
        <v>183</v>
      </c>
      <c r="F41" s="75">
        <v>1000</v>
      </c>
      <c r="L41" s="65">
        <v>1</v>
      </c>
      <c r="M41" s="65">
        <f>SUM(B23,G23,B41)</f>
        <v>12636.59</v>
      </c>
    </row>
    <row r="42" spans="1:21" x14ac:dyDescent="0.25">
      <c r="A42" s="12" t="s">
        <v>17</v>
      </c>
      <c r="B42" s="12">
        <f>SUM(J5,E42,M5)</f>
        <v>1553.25</v>
      </c>
      <c r="C42" s="12"/>
      <c r="D42" s="69">
        <f t="shared" ref="D42:D52" si="14">SUM(B42,C42)</f>
        <v>1553.25</v>
      </c>
      <c r="E42" s="59">
        <v>183</v>
      </c>
      <c r="F42" s="74"/>
      <c r="L42" s="65">
        <v>2</v>
      </c>
      <c r="M42" s="65">
        <f t="shared" ref="M42:M52" si="15">SUM(B24,G24,B42)</f>
        <v>11679.59</v>
      </c>
      <c r="P42" s="76"/>
      <c r="T42" s="66"/>
      <c r="U42" s="66"/>
    </row>
    <row r="43" spans="1:21" x14ac:dyDescent="0.25">
      <c r="A43" s="12" t="s">
        <v>19</v>
      </c>
      <c r="B43" s="12">
        <f>SUM(J6,E43,M6,G43)</f>
        <v>1593.25</v>
      </c>
      <c r="C43" s="12"/>
      <c r="D43" s="69">
        <f t="shared" si="14"/>
        <v>1593.25</v>
      </c>
      <c r="E43" s="59">
        <v>183</v>
      </c>
      <c r="F43" s="74"/>
      <c r="L43" s="65">
        <v>3</v>
      </c>
      <c r="M43" s="65">
        <f t="shared" si="15"/>
        <v>10184.59</v>
      </c>
      <c r="P43" s="72"/>
    </row>
    <row r="44" spans="1:21" x14ac:dyDescent="0.25">
      <c r="A44" s="12" t="s">
        <v>20</v>
      </c>
      <c r="B44" s="12">
        <f t="shared" ref="B44:B52" si="16">SUM(J7,E44,M7)</f>
        <v>1619.5</v>
      </c>
      <c r="C44" s="12"/>
      <c r="D44" s="69">
        <f t="shared" si="14"/>
        <v>1619.5</v>
      </c>
      <c r="E44" s="59">
        <v>183</v>
      </c>
      <c r="L44" s="65">
        <v>4</v>
      </c>
      <c r="M44" s="65">
        <f t="shared" si="15"/>
        <v>8709.34</v>
      </c>
      <c r="P44" s="72"/>
    </row>
    <row r="45" spans="1:21" x14ac:dyDescent="0.25">
      <c r="A45" s="12" t="s">
        <v>21</v>
      </c>
      <c r="B45" s="12">
        <f t="shared" si="16"/>
        <v>1495.5</v>
      </c>
      <c r="C45" s="12"/>
      <c r="D45" s="69">
        <f t="shared" si="14"/>
        <v>1495.5</v>
      </c>
      <c r="E45" s="59">
        <v>183</v>
      </c>
      <c r="L45" s="65">
        <v>5</v>
      </c>
      <c r="M45" s="65">
        <f t="shared" si="15"/>
        <v>8376.34</v>
      </c>
      <c r="P45" s="71"/>
    </row>
    <row r="46" spans="1:21" x14ac:dyDescent="0.25">
      <c r="A46" s="12" t="s">
        <v>22</v>
      </c>
      <c r="B46" s="12">
        <f t="shared" si="16"/>
        <v>1634.5</v>
      </c>
      <c r="C46" s="12"/>
      <c r="D46" s="69">
        <f t="shared" si="14"/>
        <v>1634.5</v>
      </c>
      <c r="E46" s="59">
        <v>183</v>
      </c>
      <c r="L46" s="65">
        <v>6</v>
      </c>
      <c r="M46" s="65">
        <f t="shared" si="15"/>
        <v>8574.34</v>
      </c>
      <c r="P46" s="71"/>
    </row>
    <row r="47" spans="1:21" x14ac:dyDescent="0.25">
      <c r="A47" s="12" t="s">
        <v>23</v>
      </c>
      <c r="B47" s="12">
        <f t="shared" si="16"/>
        <v>1426.5</v>
      </c>
      <c r="C47" s="12"/>
      <c r="D47" s="69">
        <f t="shared" si="14"/>
        <v>1426.5</v>
      </c>
      <c r="E47" s="59"/>
      <c r="L47" s="65">
        <v>7</v>
      </c>
      <c r="M47" s="65">
        <f t="shared" si="15"/>
        <v>7106.34</v>
      </c>
    </row>
    <row r="48" spans="1:21" x14ac:dyDescent="0.25">
      <c r="A48" s="12" t="s">
        <v>24</v>
      </c>
      <c r="B48" s="12">
        <f t="shared" si="16"/>
        <v>1426.5</v>
      </c>
      <c r="C48" s="12"/>
      <c r="D48" s="69">
        <f t="shared" si="14"/>
        <v>1426.5</v>
      </c>
      <c r="E48" s="59"/>
      <c r="L48" s="65">
        <v>8</v>
      </c>
      <c r="M48" s="65">
        <f t="shared" si="15"/>
        <v>7309.34</v>
      </c>
    </row>
    <row r="49" spans="1:13" x14ac:dyDescent="0.25">
      <c r="A49" s="12" t="s">
        <v>26</v>
      </c>
      <c r="B49" s="12">
        <f>SUM(J12,E49,M12)</f>
        <v>1426.5</v>
      </c>
      <c r="C49" s="12"/>
      <c r="D49" s="69">
        <f t="shared" si="14"/>
        <v>1426.5</v>
      </c>
      <c r="E49" s="59"/>
      <c r="L49" s="65">
        <v>9</v>
      </c>
      <c r="M49" s="65">
        <f>SUM(B31,G31,B49)</f>
        <v>6483.34</v>
      </c>
    </row>
    <row r="50" spans="1:13" x14ac:dyDescent="0.25">
      <c r="A50" s="12" t="s">
        <v>27</v>
      </c>
      <c r="B50" s="12">
        <f t="shared" si="16"/>
        <v>1426.5</v>
      </c>
      <c r="C50" s="12"/>
      <c r="D50" s="69">
        <f t="shared" si="14"/>
        <v>1426.5</v>
      </c>
      <c r="E50" s="59"/>
      <c r="L50" s="65">
        <v>10</v>
      </c>
      <c r="M50" s="65">
        <f t="shared" si="15"/>
        <v>6484.34</v>
      </c>
    </row>
    <row r="51" spans="1:13" x14ac:dyDescent="0.25">
      <c r="A51" s="12" t="s">
        <v>28</v>
      </c>
      <c r="B51" s="12">
        <f t="shared" si="16"/>
        <v>1426.5</v>
      </c>
      <c r="C51" s="12"/>
      <c r="D51" s="69">
        <f t="shared" si="14"/>
        <v>1426.5</v>
      </c>
      <c r="E51" s="59"/>
      <c r="L51" s="65">
        <v>11</v>
      </c>
      <c r="M51" s="65">
        <f>SUM(B33,G33,B51)</f>
        <v>5959.34</v>
      </c>
    </row>
    <row r="52" spans="1:13" x14ac:dyDescent="0.25">
      <c r="A52" s="12" t="s">
        <v>29</v>
      </c>
      <c r="B52" s="12">
        <f t="shared" si="16"/>
        <v>1380.5</v>
      </c>
      <c r="C52" s="12"/>
      <c r="D52" s="69">
        <f t="shared" si="14"/>
        <v>1380.5</v>
      </c>
      <c r="E52" s="59"/>
      <c r="F52" s="53">
        <v>198</v>
      </c>
      <c r="L52" s="67">
        <v>12</v>
      </c>
      <c r="M52" s="65">
        <f t="shared" si="15"/>
        <v>5708.34</v>
      </c>
    </row>
    <row r="53" spans="1:13" x14ac:dyDescent="0.25">
      <c r="A53" s="9" t="s">
        <v>30</v>
      </c>
      <c r="B53" s="7">
        <f>SUM(B41:B52)</f>
        <v>18751.25</v>
      </c>
      <c r="C53" s="3"/>
      <c r="D53" s="7">
        <f>SUM(D41:D52)</f>
        <v>18751.25</v>
      </c>
      <c r="E53" s="70">
        <f>SUM(E41:E52)</f>
        <v>1098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workbookViewId="0">
      <selection activeCell="B34" sqref="B34"/>
    </sheetView>
  </sheetViews>
  <sheetFormatPr baseColWidth="10" defaultRowHeight="15" x14ac:dyDescent="0.25"/>
  <cols>
    <col min="1" max="16384" width="11.42578125" style="53"/>
  </cols>
  <sheetData>
    <row r="1" spans="1:20" x14ac:dyDescent="0.25">
      <c r="B1" s="3"/>
      <c r="C1" s="3"/>
      <c r="D1" s="77" t="s">
        <v>6</v>
      </c>
      <c r="E1" s="59">
        <v>6417</v>
      </c>
    </row>
    <row r="2" spans="1:20" x14ac:dyDescent="0.25">
      <c r="B2" s="3"/>
      <c r="C2" s="3"/>
      <c r="D2" s="3"/>
      <c r="I2" s="5" t="s">
        <v>43</v>
      </c>
      <c r="J2" s="54"/>
      <c r="K2" s="54"/>
      <c r="L2" s="5" t="s">
        <v>44</v>
      </c>
      <c r="M2" s="54"/>
      <c r="N2" s="54"/>
      <c r="O2" s="5" t="s">
        <v>45</v>
      </c>
      <c r="P2" s="54"/>
      <c r="Q2" s="54"/>
      <c r="R2" s="5" t="s">
        <v>46</v>
      </c>
      <c r="T2" s="5" t="s">
        <v>42</v>
      </c>
    </row>
    <row r="3" spans="1:20" x14ac:dyDescent="0.25">
      <c r="A3" s="55" t="s">
        <v>5</v>
      </c>
      <c r="B3" s="55" t="s">
        <v>6</v>
      </c>
      <c r="C3" s="55" t="s">
        <v>7</v>
      </c>
      <c r="D3" s="55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56" t="s">
        <v>41</v>
      </c>
      <c r="K3" s="11" t="s">
        <v>13</v>
      </c>
      <c r="L3" s="10" t="s">
        <v>12</v>
      </c>
      <c r="M3" s="56" t="s">
        <v>41</v>
      </c>
      <c r="N3" s="11" t="s">
        <v>13</v>
      </c>
      <c r="O3" s="10" t="s">
        <v>12</v>
      </c>
      <c r="P3" s="56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0" x14ac:dyDescent="0.25">
      <c r="A4" s="12" t="s">
        <v>14</v>
      </c>
      <c r="B4" s="12">
        <v>5902</v>
      </c>
      <c r="C4" s="12">
        <v>1146</v>
      </c>
      <c r="D4" s="12">
        <v>1598</v>
      </c>
      <c r="E4" s="57">
        <f>CUENTAS!B16</f>
        <v>882</v>
      </c>
      <c r="F4" s="58">
        <f>CUENTAS!B17</f>
        <v>630</v>
      </c>
      <c r="G4" s="57">
        <f t="shared" ref="G4:G16" si="0">SUM(B4:F4)</f>
        <v>10158</v>
      </c>
      <c r="I4" s="58">
        <v>1080</v>
      </c>
      <c r="J4" s="58">
        <v>1080</v>
      </c>
      <c r="K4" s="58">
        <v>1309</v>
      </c>
      <c r="L4" s="58">
        <f>C4/4</f>
        <v>286.5</v>
      </c>
      <c r="M4" s="58">
        <f>C4/4</f>
        <v>286.5</v>
      </c>
      <c r="N4" s="58">
        <f>C4/4</f>
        <v>286.5</v>
      </c>
      <c r="O4" s="58">
        <f>D4/4</f>
        <v>399.5</v>
      </c>
      <c r="P4" s="58">
        <f>D4/4</f>
        <v>399.5</v>
      </c>
      <c r="Q4" s="58">
        <f>D4/4</f>
        <v>399.5</v>
      </c>
      <c r="R4" s="58">
        <f>E4/4</f>
        <v>220.5</v>
      </c>
      <c r="S4" s="58">
        <f>E4/4</f>
        <v>220.5</v>
      </c>
      <c r="T4" s="58">
        <f>F4/4</f>
        <v>157.5</v>
      </c>
    </row>
    <row r="5" spans="1:20" x14ac:dyDescent="0.25">
      <c r="A5" s="12" t="s">
        <v>17</v>
      </c>
      <c r="B5" s="12">
        <v>6568</v>
      </c>
      <c r="C5" s="12">
        <v>1177</v>
      </c>
      <c r="D5" s="12">
        <v>1598</v>
      </c>
      <c r="E5" s="57">
        <f>CUENTAS!B16</f>
        <v>882</v>
      </c>
      <c r="F5" s="58">
        <f>CUENTAS!B17</f>
        <v>630</v>
      </c>
      <c r="G5" s="57">
        <f t="shared" si="0"/>
        <v>10855</v>
      </c>
      <c r="I5" s="58">
        <v>1140</v>
      </c>
      <c r="J5" s="58">
        <v>1140</v>
      </c>
      <c r="K5" s="58">
        <v>1491</v>
      </c>
      <c r="L5" s="58">
        <f t="shared" ref="L5:L15" si="1">C5/4</f>
        <v>294.25</v>
      </c>
      <c r="M5" s="58">
        <f t="shared" ref="M5:M15" si="2">C5/4</f>
        <v>294.25</v>
      </c>
      <c r="N5" s="58">
        <f t="shared" ref="N5:O15" si="3">C5/4</f>
        <v>294.25</v>
      </c>
      <c r="O5" s="58">
        <f t="shared" si="3"/>
        <v>399.5</v>
      </c>
      <c r="P5" s="58">
        <f t="shared" ref="P5:P15" si="4">D5/4</f>
        <v>399.5</v>
      </c>
      <c r="Q5" s="58">
        <f t="shared" ref="Q5:R15" si="5">D5/4</f>
        <v>399.5</v>
      </c>
      <c r="R5" s="58">
        <f t="shared" si="5"/>
        <v>220.5</v>
      </c>
      <c r="S5" s="58">
        <f t="shared" ref="S5:T15" si="6">E5/4</f>
        <v>220.5</v>
      </c>
      <c r="T5" s="58">
        <f t="shared" si="6"/>
        <v>157.5</v>
      </c>
    </row>
    <row r="6" spans="1:20" x14ac:dyDescent="0.25">
      <c r="A6" s="12" t="s">
        <v>19</v>
      </c>
      <c r="B6" s="12">
        <v>7560</v>
      </c>
      <c r="C6" s="12">
        <v>1223</v>
      </c>
      <c r="D6" s="12">
        <v>1640</v>
      </c>
      <c r="E6" s="57">
        <f>CUENTAS!B16</f>
        <v>882</v>
      </c>
      <c r="F6" s="58">
        <f>CUENTAS!B17</f>
        <v>630</v>
      </c>
      <c r="G6" s="57">
        <f t="shared" si="0"/>
        <v>11935</v>
      </c>
      <c r="I6" s="58">
        <v>1200</v>
      </c>
      <c r="J6" s="58">
        <v>1200</v>
      </c>
      <c r="K6" s="58">
        <v>1910</v>
      </c>
      <c r="L6" s="58">
        <f t="shared" si="1"/>
        <v>305.75</v>
      </c>
      <c r="M6" s="58">
        <f t="shared" si="2"/>
        <v>305.75</v>
      </c>
      <c r="N6" s="58">
        <f t="shared" si="3"/>
        <v>305.75</v>
      </c>
      <c r="O6" s="58">
        <f t="shared" si="3"/>
        <v>410</v>
      </c>
      <c r="P6" s="58">
        <f t="shared" si="4"/>
        <v>410</v>
      </c>
      <c r="Q6" s="58">
        <f t="shared" si="5"/>
        <v>410</v>
      </c>
      <c r="R6" s="58">
        <f t="shared" si="5"/>
        <v>220.5</v>
      </c>
      <c r="S6" s="58">
        <f t="shared" si="6"/>
        <v>220.5</v>
      </c>
      <c r="T6" s="58">
        <f t="shared" si="6"/>
        <v>157.5</v>
      </c>
    </row>
    <row r="7" spans="1:20" x14ac:dyDescent="0.25">
      <c r="A7" s="12" t="s">
        <v>20</v>
      </c>
      <c r="B7" s="12">
        <v>6153</v>
      </c>
      <c r="C7" s="12">
        <v>1223</v>
      </c>
      <c r="D7" s="12">
        <v>1640</v>
      </c>
      <c r="E7" s="57">
        <f>CUENTAS!B16</f>
        <v>882</v>
      </c>
      <c r="F7" s="58">
        <f>CUENTAS!B17</f>
        <v>630</v>
      </c>
      <c r="G7" s="57">
        <f t="shared" si="0"/>
        <v>10528</v>
      </c>
      <c r="I7" s="58">
        <v>1200</v>
      </c>
      <c r="J7" s="58">
        <v>1200</v>
      </c>
      <c r="K7" s="58">
        <v>1284</v>
      </c>
      <c r="L7" s="58">
        <f t="shared" si="1"/>
        <v>305.75</v>
      </c>
      <c r="M7" s="58">
        <f t="shared" si="2"/>
        <v>305.75</v>
      </c>
      <c r="N7" s="58">
        <f t="shared" si="3"/>
        <v>305.75</v>
      </c>
      <c r="O7" s="58">
        <f t="shared" si="3"/>
        <v>410</v>
      </c>
      <c r="P7" s="58">
        <f t="shared" si="4"/>
        <v>410</v>
      </c>
      <c r="Q7" s="58">
        <f t="shared" si="5"/>
        <v>410</v>
      </c>
      <c r="R7" s="58">
        <f t="shared" si="5"/>
        <v>220.5</v>
      </c>
      <c r="S7" s="58">
        <f t="shared" si="6"/>
        <v>220.5</v>
      </c>
      <c r="T7" s="58">
        <f t="shared" si="6"/>
        <v>157.5</v>
      </c>
    </row>
    <row r="8" spans="1:20" x14ac:dyDescent="0.25">
      <c r="A8" s="12" t="s">
        <v>21</v>
      </c>
      <c r="B8" s="12">
        <v>6886</v>
      </c>
      <c r="C8" s="12">
        <v>1223</v>
      </c>
      <c r="D8" s="12">
        <v>1640</v>
      </c>
      <c r="E8" s="57">
        <f>CUENTAS!B16</f>
        <v>882</v>
      </c>
      <c r="F8" s="58">
        <f>CUENTAS!B17</f>
        <v>630</v>
      </c>
      <c r="G8" s="57">
        <f t="shared" si="0"/>
        <v>11261</v>
      </c>
      <c r="I8" s="58">
        <v>1200</v>
      </c>
      <c r="J8" s="58">
        <v>1200</v>
      </c>
      <c r="K8" s="58">
        <v>1574</v>
      </c>
      <c r="L8" s="58">
        <f t="shared" si="1"/>
        <v>305.75</v>
      </c>
      <c r="M8" s="58">
        <f t="shared" si="2"/>
        <v>305.75</v>
      </c>
      <c r="N8" s="58">
        <f t="shared" si="3"/>
        <v>305.75</v>
      </c>
      <c r="O8" s="58">
        <f t="shared" si="3"/>
        <v>410</v>
      </c>
      <c r="P8" s="58">
        <f t="shared" si="4"/>
        <v>410</v>
      </c>
      <c r="Q8" s="58">
        <f t="shared" si="5"/>
        <v>410</v>
      </c>
      <c r="R8" s="58">
        <f t="shared" si="5"/>
        <v>220.5</v>
      </c>
      <c r="S8" s="58">
        <f t="shared" si="6"/>
        <v>220.5</v>
      </c>
      <c r="T8" s="58">
        <f t="shared" si="6"/>
        <v>157.5</v>
      </c>
    </row>
    <row r="9" spans="1:20" x14ac:dyDescent="0.25">
      <c r="A9" s="12" t="s">
        <v>22</v>
      </c>
      <c r="B9" s="12">
        <v>5704</v>
      </c>
      <c r="C9" s="12">
        <v>1223</v>
      </c>
      <c r="D9" s="12">
        <v>1640</v>
      </c>
      <c r="E9" s="57">
        <f>CUENTAS!B16</f>
        <v>882</v>
      </c>
      <c r="F9" s="58">
        <f>CUENTAS!B17</f>
        <v>630</v>
      </c>
      <c r="G9" s="57">
        <f t="shared" si="0"/>
        <v>10079</v>
      </c>
      <c r="I9" s="58">
        <v>1000</v>
      </c>
      <c r="J9" s="58">
        <v>1000</v>
      </c>
      <c r="K9" s="58">
        <v>1310</v>
      </c>
      <c r="L9" s="58">
        <f t="shared" si="1"/>
        <v>305.75</v>
      </c>
      <c r="M9" s="58">
        <f t="shared" si="2"/>
        <v>305.75</v>
      </c>
      <c r="N9" s="58">
        <f t="shared" si="3"/>
        <v>305.75</v>
      </c>
      <c r="O9" s="58">
        <f t="shared" si="3"/>
        <v>410</v>
      </c>
      <c r="P9" s="58">
        <f t="shared" si="4"/>
        <v>410</v>
      </c>
      <c r="Q9" s="58">
        <f t="shared" si="5"/>
        <v>410</v>
      </c>
      <c r="R9" s="58">
        <f t="shared" si="5"/>
        <v>220.5</v>
      </c>
      <c r="S9" s="58">
        <f t="shared" si="6"/>
        <v>220.5</v>
      </c>
      <c r="T9" s="58">
        <f t="shared" si="6"/>
        <v>157.5</v>
      </c>
    </row>
    <row r="10" spans="1:20" x14ac:dyDescent="0.25">
      <c r="A10" s="12" t="s">
        <v>23</v>
      </c>
      <c r="B10" s="12">
        <v>6173</v>
      </c>
      <c r="C10" s="12">
        <v>1223</v>
      </c>
      <c r="D10" s="12">
        <v>1640</v>
      </c>
      <c r="E10" s="57">
        <f>CUENTAS!B16</f>
        <v>882</v>
      </c>
      <c r="F10" s="58">
        <f>CUENTAS!B17</f>
        <v>630</v>
      </c>
      <c r="G10" s="57">
        <f t="shared" si="0"/>
        <v>10548</v>
      </c>
      <c r="I10" s="58">
        <v>1100</v>
      </c>
      <c r="J10" s="58">
        <v>1100</v>
      </c>
      <c r="K10" s="58">
        <v>1408</v>
      </c>
      <c r="L10" s="58">
        <f t="shared" si="1"/>
        <v>305.75</v>
      </c>
      <c r="M10" s="58">
        <f t="shared" si="2"/>
        <v>305.75</v>
      </c>
      <c r="N10" s="58">
        <f t="shared" si="3"/>
        <v>305.75</v>
      </c>
      <c r="O10" s="58">
        <f t="shared" si="3"/>
        <v>410</v>
      </c>
      <c r="P10" s="58">
        <f t="shared" si="4"/>
        <v>410</v>
      </c>
      <c r="Q10" s="58">
        <f t="shared" si="5"/>
        <v>410</v>
      </c>
      <c r="R10" s="58">
        <f t="shared" si="5"/>
        <v>220.5</v>
      </c>
      <c r="S10" s="58">
        <f t="shared" si="6"/>
        <v>220.5</v>
      </c>
      <c r="T10" s="58">
        <f t="shared" si="6"/>
        <v>157.5</v>
      </c>
    </row>
    <row r="11" spans="1:20" x14ac:dyDescent="0.25">
      <c r="A11" s="12" t="s">
        <v>24</v>
      </c>
      <c r="B11" s="12">
        <v>7195</v>
      </c>
      <c r="C11" s="12">
        <v>1223</v>
      </c>
      <c r="D11" s="12">
        <v>1640</v>
      </c>
      <c r="E11" s="57">
        <f>CUENTAS!B16</f>
        <v>882</v>
      </c>
      <c r="F11" s="58">
        <f>CUENTAS!B17</f>
        <v>630</v>
      </c>
      <c r="G11" s="57">
        <f t="shared" si="0"/>
        <v>11570</v>
      </c>
      <c r="I11" s="58">
        <v>1100</v>
      </c>
      <c r="J11" s="58">
        <v>1100</v>
      </c>
      <c r="K11" s="58">
        <v>1794</v>
      </c>
      <c r="L11" s="58">
        <f t="shared" si="1"/>
        <v>305.75</v>
      </c>
      <c r="M11" s="58">
        <f t="shared" si="2"/>
        <v>305.75</v>
      </c>
      <c r="N11" s="58">
        <f t="shared" si="3"/>
        <v>305.75</v>
      </c>
      <c r="O11" s="58">
        <f t="shared" si="3"/>
        <v>410</v>
      </c>
      <c r="P11" s="58">
        <f t="shared" si="4"/>
        <v>410</v>
      </c>
      <c r="Q11" s="58">
        <f t="shared" si="5"/>
        <v>410</v>
      </c>
      <c r="R11" s="58">
        <f t="shared" si="5"/>
        <v>220.5</v>
      </c>
      <c r="S11" s="58">
        <f t="shared" si="6"/>
        <v>220.5</v>
      </c>
      <c r="T11" s="58">
        <f t="shared" si="6"/>
        <v>157.5</v>
      </c>
    </row>
    <row r="12" spans="1:20" x14ac:dyDescent="0.25">
      <c r="A12" s="12" t="s">
        <v>26</v>
      </c>
      <c r="B12" s="12">
        <v>7615</v>
      </c>
      <c r="C12" s="12">
        <v>1223</v>
      </c>
      <c r="D12" s="12">
        <v>1653</v>
      </c>
      <c r="E12" s="57">
        <f>CUENTAS!B16</f>
        <v>882</v>
      </c>
      <c r="F12" s="58">
        <f>CUENTAS!B17</f>
        <v>630</v>
      </c>
      <c r="G12" s="57">
        <f t="shared" si="0"/>
        <v>12003</v>
      </c>
      <c r="I12" s="58">
        <v>1100</v>
      </c>
      <c r="J12" s="58">
        <v>1100</v>
      </c>
      <c r="K12" s="58">
        <v>2005</v>
      </c>
      <c r="L12" s="58">
        <f t="shared" si="1"/>
        <v>305.75</v>
      </c>
      <c r="M12" s="58">
        <f t="shared" si="2"/>
        <v>305.75</v>
      </c>
      <c r="N12" s="58">
        <f t="shared" si="3"/>
        <v>305.75</v>
      </c>
      <c r="O12" s="58">
        <f t="shared" si="3"/>
        <v>413.25</v>
      </c>
      <c r="P12" s="58">
        <f t="shared" si="4"/>
        <v>413.25</v>
      </c>
      <c r="Q12" s="58">
        <f t="shared" si="5"/>
        <v>413.25</v>
      </c>
      <c r="R12" s="58">
        <f t="shared" si="5"/>
        <v>220.5</v>
      </c>
      <c r="S12" s="58">
        <f t="shared" si="6"/>
        <v>220.5</v>
      </c>
      <c r="T12" s="58">
        <f t="shared" si="6"/>
        <v>157.5</v>
      </c>
    </row>
    <row r="13" spans="1:20" x14ac:dyDescent="0.25">
      <c r="A13" s="12" t="s">
        <v>27</v>
      </c>
      <c r="B13" s="12">
        <v>6956</v>
      </c>
      <c r="C13" s="12">
        <v>1223</v>
      </c>
      <c r="D13" s="12">
        <v>1640</v>
      </c>
      <c r="E13" s="57">
        <f>CUENTAS!B16</f>
        <v>882</v>
      </c>
      <c r="F13" s="58">
        <f>CUENTAS!B17</f>
        <v>630</v>
      </c>
      <c r="G13" s="57">
        <f t="shared" si="0"/>
        <v>11331</v>
      </c>
      <c r="I13" s="58">
        <v>1100</v>
      </c>
      <c r="J13" s="58">
        <v>1100</v>
      </c>
      <c r="K13" s="58">
        <v>1676</v>
      </c>
      <c r="L13" s="58">
        <f t="shared" si="1"/>
        <v>305.75</v>
      </c>
      <c r="M13" s="58">
        <f t="shared" si="2"/>
        <v>305.75</v>
      </c>
      <c r="N13" s="58">
        <f t="shared" si="3"/>
        <v>305.75</v>
      </c>
      <c r="O13" s="58">
        <f t="shared" si="3"/>
        <v>410</v>
      </c>
      <c r="P13" s="58">
        <f t="shared" si="4"/>
        <v>410</v>
      </c>
      <c r="Q13" s="58">
        <f t="shared" si="5"/>
        <v>410</v>
      </c>
      <c r="R13" s="58">
        <f t="shared" si="5"/>
        <v>220.5</v>
      </c>
      <c r="S13" s="58">
        <f t="shared" si="6"/>
        <v>220.5</v>
      </c>
      <c r="T13" s="58">
        <f t="shared" si="6"/>
        <v>157.5</v>
      </c>
    </row>
    <row r="14" spans="1:20" x14ac:dyDescent="0.25">
      <c r="A14" s="12" t="s">
        <v>28</v>
      </c>
      <c r="B14" s="12">
        <v>5789</v>
      </c>
      <c r="C14" s="12">
        <v>1223</v>
      </c>
      <c r="D14" s="12">
        <v>1640</v>
      </c>
      <c r="E14" s="57">
        <f>CUENTAS!B16</f>
        <v>882</v>
      </c>
      <c r="F14" s="58">
        <f>CUENTAS!B17</f>
        <v>630</v>
      </c>
      <c r="G14" s="57">
        <f t="shared" si="0"/>
        <v>10164</v>
      </c>
      <c r="I14" s="58">
        <v>1000</v>
      </c>
      <c r="J14" s="58">
        <v>1000</v>
      </c>
      <c r="K14" s="58">
        <v>1346</v>
      </c>
      <c r="L14" s="58">
        <f t="shared" si="1"/>
        <v>305.75</v>
      </c>
      <c r="M14" s="58">
        <f t="shared" si="2"/>
        <v>305.75</v>
      </c>
      <c r="N14" s="58">
        <f t="shared" si="3"/>
        <v>305.75</v>
      </c>
      <c r="O14" s="58">
        <f t="shared" si="3"/>
        <v>410</v>
      </c>
      <c r="P14" s="58">
        <f t="shared" si="4"/>
        <v>410</v>
      </c>
      <c r="Q14" s="58">
        <f t="shared" si="5"/>
        <v>410</v>
      </c>
      <c r="R14" s="58">
        <f t="shared" si="5"/>
        <v>220.5</v>
      </c>
      <c r="S14" s="58">
        <f t="shared" si="6"/>
        <v>220.5</v>
      </c>
      <c r="T14" s="58">
        <f t="shared" si="6"/>
        <v>157.5</v>
      </c>
    </row>
    <row r="15" spans="1:20" x14ac:dyDescent="0.25">
      <c r="A15" s="12" t="s">
        <v>29</v>
      </c>
      <c r="B15" s="12">
        <v>6414</v>
      </c>
      <c r="C15" s="12">
        <v>1223</v>
      </c>
      <c r="D15" s="12">
        <v>1641</v>
      </c>
      <c r="E15" s="57">
        <f>CUENTAS!B16</f>
        <v>882</v>
      </c>
      <c r="F15" s="58">
        <f>CUENTAS!B17</f>
        <v>630</v>
      </c>
      <c r="G15" s="57">
        <f t="shared" si="0"/>
        <v>10790</v>
      </c>
      <c r="I15" s="58">
        <v>1100</v>
      </c>
      <c r="J15" s="58">
        <v>1100</v>
      </c>
      <c r="K15" s="58">
        <v>1488</v>
      </c>
      <c r="L15" s="58">
        <f t="shared" si="1"/>
        <v>305.75</v>
      </c>
      <c r="M15" s="58">
        <f t="shared" si="2"/>
        <v>305.75</v>
      </c>
      <c r="N15" s="58">
        <f t="shared" si="3"/>
        <v>305.75</v>
      </c>
      <c r="O15" s="58">
        <f t="shared" si="3"/>
        <v>410.25</v>
      </c>
      <c r="P15" s="58">
        <f t="shared" si="4"/>
        <v>410.25</v>
      </c>
      <c r="Q15" s="58">
        <f t="shared" si="5"/>
        <v>410.25</v>
      </c>
      <c r="R15" s="58">
        <f t="shared" si="5"/>
        <v>220.5</v>
      </c>
      <c r="S15" s="58">
        <f t="shared" si="6"/>
        <v>220.5</v>
      </c>
      <c r="T15" s="58">
        <f t="shared" si="6"/>
        <v>157.5</v>
      </c>
    </row>
    <row r="16" spans="1:20" x14ac:dyDescent="0.25">
      <c r="A16" s="9" t="s">
        <v>30</v>
      </c>
      <c r="B16" s="7">
        <f t="shared" ref="B16:F16" si="7">SUM(B4:B15)</f>
        <v>78915</v>
      </c>
      <c r="C16" s="7">
        <f t="shared" si="7"/>
        <v>14553</v>
      </c>
      <c r="D16" s="7">
        <f t="shared" si="7"/>
        <v>19610</v>
      </c>
      <c r="E16" s="7">
        <f t="shared" si="7"/>
        <v>10584</v>
      </c>
      <c r="F16" s="7">
        <f t="shared" si="7"/>
        <v>7560</v>
      </c>
      <c r="G16" s="22">
        <f t="shared" si="0"/>
        <v>131222</v>
      </c>
    </row>
    <row r="17" spans="1:20" x14ac:dyDescent="0.25">
      <c r="B17" s="3"/>
      <c r="C17" s="3"/>
      <c r="D17" s="3"/>
    </row>
    <row r="18" spans="1:20" x14ac:dyDescent="0.25">
      <c r="B18" s="3"/>
      <c r="C18" s="3"/>
      <c r="D18" s="3"/>
    </row>
    <row r="19" spans="1:20" x14ac:dyDescent="0.25">
      <c r="B19" s="3"/>
      <c r="C19" s="3"/>
      <c r="D19" s="3"/>
    </row>
    <row r="20" spans="1:20" x14ac:dyDescent="0.25">
      <c r="B20" s="3"/>
      <c r="C20" s="3"/>
      <c r="D20" s="3"/>
    </row>
    <row r="21" spans="1:20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59"/>
      <c r="R21" s="60" t="s">
        <v>58</v>
      </c>
      <c r="S21" s="60" t="s">
        <v>48</v>
      </c>
      <c r="T21" s="60" t="s">
        <v>51</v>
      </c>
    </row>
    <row r="22" spans="1:20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59">
        <v>1</v>
      </c>
      <c r="R22" s="61">
        <v>0</v>
      </c>
      <c r="S22" s="62">
        <v>0</v>
      </c>
      <c r="T22" s="61">
        <v>0</v>
      </c>
    </row>
    <row r="23" spans="1:20" x14ac:dyDescent="0.25">
      <c r="A23" s="12" t="s">
        <v>14</v>
      </c>
      <c r="B23" s="12">
        <f>SUM(I4,L4,O4,R4,N23)</f>
        <v>1986.5</v>
      </c>
      <c r="C23" s="12"/>
      <c r="D23" s="27">
        <f>SUM(B23,C23)</f>
        <v>1986.5</v>
      </c>
      <c r="F23" s="12" t="s">
        <v>14</v>
      </c>
      <c r="G23" s="12">
        <f>SUM(K4,N4,Q4,S4,T4,O23,S22,R22,T22)</f>
        <v>2373</v>
      </c>
      <c r="H23" s="58"/>
      <c r="I23" s="27">
        <f t="shared" ref="I23:I34" si="8">SUM(G23,H23)</f>
        <v>2373</v>
      </c>
      <c r="L23" s="12" t="s">
        <v>14</v>
      </c>
      <c r="M23" s="58">
        <f>SUM(H41)</f>
        <v>0</v>
      </c>
      <c r="N23" s="58">
        <v>0</v>
      </c>
      <c r="O23" s="58">
        <v>0</v>
      </c>
      <c r="Q23" s="63">
        <v>2</v>
      </c>
      <c r="R23" s="61">
        <v>0</v>
      </c>
      <c r="S23" s="62">
        <v>0</v>
      </c>
      <c r="T23" s="62">
        <v>0</v>
      </c>
    </row>
    <row r="24" spans="1:20" x14ac:dyDescent="0.25">
      <c r="A24" s="12" t="s">
        <v>17</v>
      </c>
      <c r="B24" s="12">
        <f t="shared" ref="B24:B34" si="9">SUM(I5,L5,O5,R5,N24)</f>
        <v>2054.25</v>
      </c>
      <c r="C24" s="12"/>
      <c r="D24" s="27">
        <f t="shared" ref="D24:D34" si="10">SUM(B24,C24)</f>
        <v>2054.25</v>
      </c>
      <c r="F24" s="12" t="s">
        <v>17</v>
      </c>
      <c r="G24" s="12">
        <f>SUM(K5,N5,Q5,S5,T5,O24,S23,R23,T23)</f>
        <v>2562.75</v>
      </c>
      <c r="H24" s="58"/>
      <c r="I24" s="27">
        <f t="shared" si="8"/>
        <v>2562.75</v>
      </c>
      <c r="L24" s="12" t="s">
        <v>17</v>
      </c>
      <c r="M24" s="58">
        <f>SUM(H41)</f>
        <v>0</v>
      </c>
      <c r="N24" s="58">
        <v>0</v>
      </c>
      <c r="O24" s="58">
        <v>0</v>
      </c>
      <c r="Q24" s="59">
        <v>3</v>
      </c>
      <c r="R24" s="61">
        <v>0</v>
      </c>
      <c r="S24" s="62">
        <v>0</v>
      </c>
      <c r="T24" s="62">
        <v>0</v>
      </c>
    </row>
    <row r="25" spans="1:20" x14ac:dyDescent="0.25">
      <c r="A25" s="12" t="s">
        <v>19</v>
      </c>
      <c r="B25" s="12">
        <f t="shared" si="9"/>
        <v>2136.25</v>
      </c>
      <c r="C25" s="12"/>
      <c r="D25" s="27">
        <f t="shared" si="10"/>
        <v>2136.25</v>
      </c>
      <c r="F25" s="12" t="s">
        <v>19</v>
      </c>
      <c r="G25" s="12">
        <f t="shared" ref="G25:G34" si="11">SUM(K6,N6,Q6,S6,T6,O25,S24,R24,T24)</f>
        <v>3003.75</v>
      </c>
      <c r="H25" s="58"/>
      <c r="I25" s="27">
        <f t="shared" si="8"/>
        <v>3003.75</v>
      </c>
      <c r="L25" s="12" t="s">
        <v>19</v>
      </c>
      <c r="M25" s="58">
        <f>SUM(H41)</f>
        <v>0</v>
      </c>
      <c r="N25" s="58">
        <v>0</v>
      </c>
      <c r="O25" s="58">
        <v>0</v>
      </c>
      <c r="Q25" s="59">
        <v>4</v>
      </c>
      <c r="R25" s="61">
        <v>0</v>
      </c>
      <c r="S25" s="62">
        <v>0</v>
      </c>
      <c r="T25" s="62">
        <v>0</v>
      </c>
    </row>
    <row r="26" spans="1:20" x14ac:dyDescent="0.25">
      <c r="A26" s="12" t="s">
        <v>20</v>
      </c>
      <c r="B26" s="12">
        <f t="shared" si="9"/>
        <v>2136.25</v>
      </c>
      <c r="C26" s="12"/>
      <c r="D26" s="27">
        <f t="shared" si="10"/>
        <v>2136.25</v>
      </c>
      <c r="F26" s="12" t="s">
        <v>20</v>
      </c>
      <c r="G26" s="12">
        <f t="shared" si="11"/>
        <v>2377.75</v>
      </c>
      <c r="H26" s="58"/>
      <c r="I26" s="27">
        <f t="shared" si="8"/>
        <v>2377.75</v>
      </c>
      <c r="L26" s="12" t="s">
        <v>20</v>
      </c>
      <c r="M26" s="58">
        <f>SUM(H41)</f>
        <v>0</v>
      </c>
      <c r="N26" s="58">
        <v>0</v>
      </c>
      <c r="O26" s="58">
        <v>0</v>
      </c>
      <c r="Q26" s="59">
        <v>5</v>
      </c>
      <c r="R26" s="61">
        <v>0</v>
      </c>
      <c r="S26" s="62">
        <v>0</v>
      </c>
      <c r="T26" s="62">
        <v>0</v>
      </c>
    </row>
    <row r="27" spans="1:20" x14ac:dyDescent="0.25">
      <c r="A27" s="12" t="s">
        <v>21</v>
      </c>
      <c r="B27" s="12">
        <f>SUM(I8,L8,O8,R8,N27)</f>
        <v>2136.25</v>
      </c>
      <c r="C27" s="12"/>
      <c r="D27" s="27">
        <f t="shared" si="10"/>
        <v>2136.25</v>
      </c>
      <c r="F27" s="12" t="s">
        <v>21</v>
      </c>
      <c r="G27" s="12">
        <f t="shared" si="11"/>
        <v>2667.75</v>
      </c>
      <c r="H27" s="58"/>
      <c r="I27" s="27">
        <f t="shared" si="8"/>
        <v>2667.75</v>
      </c>
      <c r="L27" s="12" t="s">
        <v>21</v>
      </c>
      <c r="M27" s="58">
        <f>SUM(H41)</f>
        <v>0</v>
      </c>
      <c r="N27" s="58">
        <v>0</v>
      </c>
      <c r="O27" s="58">
        <v>0</v>
      </c>
      <c r="Q27" s="59">
        <v>6</v>
      </c>
      <c r="R27" s="61">
        <v>0</v>
      </c>
      <c r="S27" s="62">
        <v>0</v>
      </c>
      <c r="T27" s="62">
        <v>0</v>
      </c>
    </row>
    <row r="28" spans="1:20" x14ac:dyDescent="0.25">
      <c r="A28" s="12" t="s">
        <v>22</v>
      </c>
      <c r="B28" s="12">
        <f t="shared" si="9"/>
        <v>1936.25</v>
      </c>
      <c r="C28" s="12"/>
      <c r="D28" s="27">
        <f t="shared" si="10"/>
        <v>1936.25</v>
      </c>
      <c r="F28" s="12" t="s">
        <v>22</v>
      </c>
      <c r="G28" s="12">
        <f t="shared" si="11"/>
        <v>2403.75</v>
      </c>
      <c r="H28" s="58"/>
      <c r="I28" s="27">
        <f t="shared" si="8"/>
        <v>2403.75</v>
      </c>
      <c r="L28" s="12" t="s">
        <v>22</v>
      </c>
      <c r="M28" s="58">
        <f>SUM(H41)</f>
        <v>0</v>
      </c>
      <c r="N28" s="58">
        <v>0</v>
      </c>
      <c r="O28" s="58">
        <v>0</v>
      </c>
      <c r="Q28" s="59">
        <v>7</v>
      </c>
      <c r="R28" s="61">
        <v>0</v>
      </c>
      <c r="S28" s="62">
        <v>0</v>
      </c>
      <c r="T28" s="62">
        <v>0</v>
      </c>
    </row>
    <row r="29" spans="1:20" x14ac:dyDescent="0.25">
      <c r="A29" s="12" t="s">
        <v>23</v>
      </c>
      <c r="B29" s="12">
        <f>SUM(I10,L10,O10,R10,N29)</f>
        <v>2036.25</v>
      </c>
      <c r="C29" s="12"/>
      <c r="D29" s="27">
        <f t="shared" si="10"/>
        <v>2036.25</v>
      </c>
      <c r="F29" s="12" t="s">
        <v>23</v>
      </c>
      <c r="G29" s="12">
        <f t="shared" si="11"/>
        <v>2501.75</v>
      </c>
      <c r="H29" s="58"/>
      <c r="I29" s="27">
        <f t="shared" si="8"/>
        <v>2501.75</v>
      </c>
      <c r="L29" s="12" t="s">
        <v>23</v>
      </c>
      <c r="M29" s="58">
        <f>SUM(H41)</f>
        <v>0</v>
      </c>
      <c r="N29" s="58">
        <v>0</v>
      </c>
      <c r="O29" s="58">
        <f t="shared" ref="O29" si="12">M29/3</f>
        <v>0</v>
      </c>
      <c r="Q29" s="59">
        <v>8</v>
      </c>
      <c r="R29" s="61">
        <v>0</v>
      </c>
      <c r="S29" s="62">
        <v>0</v>
      </c>
      <c r="T29" s="62">
        <v>0</v>
      </c>
    </row>
    <row r="30" spans="1:20" x14ac:dyDescent="0.25">
      <c r="A30" s="12" t="s">
        <v>24</v>
      </c>
      <c r="B30" s="12">
        <f>SUM(I11,L11,O11,R11,N30)</f>
        <v>2179.25</v>
      </c>
      <c r="C30" s="12"/>
      <c r="D30" s="27">
        <f t="shared" si="10"/>
        <v>2179.25</v>
      </c>
      <c r="F30" s="12" t="s">
        <v>24</v>
      </c>
      <c r="G30" s="12">
        <f t="shared" si="11"/>
        <v>2887.75</v>
      </c>
      <c r="H30" s="58"/>
      <c r="I30" s="27">
        <f t="shared" si="8"/>
        <v>2887.75</v>
      </c>
      <c r="L30" s="12" t="s">
        <v>24</v>
      </c>
      <c r="M30" s="58">
        <f>SUM(H41)</f>
        <v>0</v>
      </c>
      <c r="N30" s="58">
        <v>143</v>
      </c>
      <c r="O30" s="58">
        <v>0</v>
      </c>
      <c r="Q30" s="59">
        <v>9</v>
      </c>
      <c r="R30" s="61">
        <v>0</v>
      </c>
      <c r="S30" s="62">
        <v>0</v>
      </c>
      <c r="T30" s="62">
        <v>0</v>
      </c>
    </row>
    <row r="31" spans="1:20" x14ac:dyDescent="0.25">
      <c r="A31" s="12" t="s">
        <v>26</v>
      </c>
      <c r="B31" s="12">
        <f>SUM(I12,L12,O12,R12,N31)</f>
        <v>2182.5</v>
      </c>
      <c r="C31" s="12"/>
      <c r="D31" s="27">
        <f t="shared" si="10"/>
        <v>2182.5</v>
      </c>
      <c r="F31" s="12" t="s">
        <v>26</v>
      </c>
      <c r="G31" s="12">
        <f t="shared" si="11"/>
        <v>3102</v>
      </c>
      <c r="H31" s="58"/>
      <c r="I31" s="27">
        <f t="shared" si="8"/>
        <v>3102</v>
      </c>
      <c r="L31" s="12" t="s">
        <v>26</v>
      </c>
      <c r="M31" s="58">
        <f>SUM(H41)</f>
        <v>0</v>
      </c>
      <c r="N31" s="58">
        <v>143</v>
      </c>
      <c r="O31" s="58">
        <v>0</v>
      </c>
      <c r="Q31" s="59">
        <v>10</v>
      </c>
      <c r="R31" s="61">
        <v>0</v>
      </c>
      <c r="S31" s="62">
        <v>0</v>
      </c>
      <c r="T31" s="62">
        <v>0</v>
      </c>
    </row>
    <row r="32" spans="1:20" x14ac:dyDescent="0.25">
      <c r="A32" s="12" t="s">
        <v>27</v>
      </c>
      <c r="B32" s="12">
        <f t="shared" si="9"/>
        <v>2405.25</v>
      </c>
      <c r="C32" s="12"/>
      <c r="D32" s="27">
        <f t="shared" si="10"/>
        <v>2405.25</v>
      </c>
      <c r="F32" s="12" t="s">
        <v>27</v>
      </c>
      <c r="G32" s="12">
        <f t="shared" si="11"/>
        <v>2995.75</v>
      </c>
      <c r="H32" s="58"/>
      <c r="I32" s="27">
        <f t="shared" si="8"/>
        <v>2995.75</v>
      </c>
      <c r="L32" s="12" t="s">
        <v>27</v>
      </c>
      <c r="M32" s="58">
        <f>SUM(H41)</f>
        <v>0</v>
      </c>
      <c r="N32" s="58">
        <v>369</v>
      </c>
      <c r="O32" s="58">
        <v>226</v>
      </c>
      <c r="Q32" s="59">
        <v>11</v>
      </c>
      <c r="R32" s="61">
        <v>0</v>
      </c>
      <c r="S32" s="62">
        <v>0</v>
      </c>
      <c r="T32" s="62">
        <v>0</v>
      </c>
    </row>
    <row r="33" spans="1:21" x14ac:dyDescent="0.25">
      <c r="A33" s="12" t="s">
        <v>28</v>
      </c>
      <c r="B33" s="12">
        <f t="shared" si="9"/>
        <v>2079.25</v>
      </c>
      <c r="C33" s="12"/>
      <c r="D33" s="27">
        <f t="shared" si="10"/>
        <v>2079.25</v>
      </c>
      <c r="F33" s="12" t="s">
        <v>28</v>
      </c>
      <c r="G33" s="12">
        <f t="shared" si="11"/>
        <v>2439.75</v>
      </c>
      <c r="H33" s="58"/>
      <c r="I33" s="27">
        <f t="shared" si="8"/>
        <v>2439.75</v>
      </c>
      <c r="L33" s="12" t="s">
        <v>28</v>
      </c>
      <c r="M33" s="58">
        <f>SUM(H41)</f>
        <v>0</v>
      </c>
      <c r="N33" s="58">
        <v>143</v>
      </c>
      <c r="O33" s="58">
        <v>0</v>
      </c>
      <c r="Q33" s="59">
        <v>12</v>
      </c>
      <c r="R33" s="61">
        <v>0</v>
      </c>
      <c r="S33" s="62">
        <v>0</v>
      </c>
      <c r="T33" s="62">
        <v>0</v>
      </c>
    </row>
    <row r="34" spans="1:21" x14ac:dyDescent="0.25">
      <c r="A34" s="12" t="s">
        <v>29</v>
      </c>
      <c r="B34" s="12">
        <f t="shared" si="9"/>
        <v>2179.5</v>
      </c>
      <c r="C34" s="12"/>
      <c r="D34" s="27">
        <f t="shared" si="10"/>
        <v>2179.5</v>
      </c>
      <c r="F34" s="12" t="s">
        <v>29</v>
      </c>
      <c r="G34" s="12">
        <f t="shared" si="11"/>
        <v>2582</v>
      </c>
      <c r="H34" s="58"/>
      <c r="I34" s="27">
        <f t="shared" si="8"/>
        <v>2582</v>
      </c>
      <c r="L34" s="12" t="s">
        <v>29</v>
      </c>
      <c r="M34" s="58">
        <f>SUM(H41)</f>
        <v>0</v>
      </c>
      <c r="N34" s="58">
        <v>143</v>
      </c>
      <c r="O34" s="58">
        <v>0</v>
      </c>
    </row>
    <row r="35" spans="1:21" x14ac:dyDescent="0.25">
      <c r="A35" s="9" t="s">
        <v>30</v>
      </c>
      <c r="B35" s="7">
        <f>SUM(B23:B34)</f>
        <v>25447.75</v>
      </c>
      <c r="C35" s="3"/>
      <c r="D35" s="7">
        <f>SUM(D23:D34)</f>
        <v>25447.75</v>
      </c>
      <c r="F35" s="9" t="s">
        <v>30</v>
      </c>
      <c r="G35" s="7">
        <f>SUM(G23:G34)</f>
        <v>31897.75</v>
      </c>
      <c r="I35" s="7">
        <f>SUM(I23:I34)</f>
        <v>31897.75</v>
      </c>
    </row>
    <row r="36" spans="1:21" x14ac:dyDescent="0.25">
      <c r="C36" s="3"/>
      <c r="D36" s="3"/>
    </row>
    <row r="39" spans="1:21" x14ac:dyDescent="0.25">
      <c r="B39" s="64" t="s">
        <v>41</v>
      </c>
      <c r="C39" s="3"/>
    </row>
    <row r="40" spans="1:21" x14ac:dyDescent="0.25">
      <c r="A40" s="10" t="s">
        <v>5</v>
      </c>
      <c r="B40" s="10"/>
      <c r="C40" s="10" t="s">
        <v>32</v>
      </c>
      <c r="D40" s="10" t="s">
        <v>33</v>
      </c>
      <c r="E40" s="68" t="s">
        <v>15</v>
      </c>
      <c r="L40" s="65"/>
      <c r="M40" s="65" t="s">
        <v>47</v>
      </c>
    </row>
    <row r="41" spans="1:21" x14ac:dyDescent="0.25">
      <c r="A41" s="12" t="s">
        <v>14</v>
      </c>
      <c r="B41" s="12">
        <f>SUM(J4,E41,M4,F41,G41)</f>
        <v>1564.5</v>
      </c>
      <c r="C41" s="12"/>
      <c r="D41" s="69">
        <f>SUM(B41,C41)</f>
        <v>1564.5</v>
      </c>
      <c r="E41" s="73">
        <v>198</v>
      </c>
      <c r="F41" s="75"/>
      <c r="L41" s="65">
        <v>1</v>
      </c>
      <c r="M41" s="65">
        <f>SUM(B23,G23,B41)</f>
        <v>5924</v>
      </c>
    </row>
    <row r="42" spans="1:21" x14ac:dyDescent="0.25">
      <c r="A42" s="12" t="s">
        <v>17</v>
      </c>
      <c r="B42" s="12">
        <f>SUM(J5,E42,M5)</f>
        <v>1632.25</v>
      </c>
      <c r="C42" s="12"/>
      <c r="D42" s="69">
        <f t="shared" ref="D42:D52" si="13">SUM(B42,C42)</f>
        <v>1632.25</v>
      </c>
      <c r="E42" s="59">
        <v>198</v>
      </c>
      <c r="F42" s="74"/>
      <c r="L42" s="65">
        <v>2</v>
      </c>
      <c r="M42" s="65">
        <f t="shared" ref="M42:M52" si="14">SUM(B24,G24,B42)</f>
        <v>6249.25</v>
      </c>
      <c r="P42" s="76"/>
      <c r="T42" s="66"/>
      <c r="U42" s="66"/>
    </row>
    <row r="43" spans="1:21" x14ac:dyDescent="0.25">
      <c r="A43" s="12" t="s">
        <v>19</v>
      </c>
      <c r="B43" s="12">
        <f>SUM(J6,E43,M6,G43)</f>
        <v>1703.75</v>
      </c>
      <c r="C43" s="12"/>
      <c r="D43" s="69">
        <f t="shared" si="13"/>
        <v>1703.75</v>
      </c>
      <c r="E43" s="59">
        <v>198</v>
      </c>
      <c r="F43" s="74"/>
      <c r="L43" s="65">
        <v>3</v>
      </c>
      <c r="M43" s="65">
        <f t="shared" si="14"/>
        <v>6843.75</v>
      </c>
      <c r="P43" s="72"/>
    </row>
    <row r="44" spans="1:21" x14ac:dyDescent="0.25">
      <c r="A44" s="12" t="s">
        <v>20</v>
      </c>
      <c r="B44" s="12">
        <f t="shared" ref="B44:B52" si="15">SUM(J7,E44,M7)</f>
        <v>1505.75</v>
      </c>
      <c r="C44" s="12"/>
      <c r="D44" s="69">
        <f t="shared" si="13"/>
        <v>1505.75</v>
      </c>
      <c r="E44" s="59">
        <v>0</v>
      </c>
      <c r="L44" s="65">
        <v>4</v>
      </c>
      <c r="M44" s="65">
        <f t="shared" si="14"/>
        <v>6019.75</v>
      </c>
      <c r="P44" s="72"/>
    </row>
    <row r="45" spans="1:21" x14ac:dyDescent="0.25">
      <c r="A45" s="12" t="s">
        <v>21</v>
      </c>
      <c r="B45" s="12">
        <f t="shared" si="15"/>
        <v>1505.75</v>
      </c>
      <c r="C45" s="12"/>
      <c r="D45" s="69">
        <f t="shared" si="13"/>
        <v>1505.75</v>
      </c>
      <c r="E45" s="59">
        <v>0</v>
      </c>
      <c r="L45" s="65">
        <v>5</v>
      </c>
      <c r="M45" s="65">
        <f t="shared" si="14"/>
        <v>6309.75</v>
      </c>
      <c r="P45" s="71"/>
    </row>
    <row r="46" spans="1:21" x14ac:dyDescent="0.25">
      <c r="A46" s="12" t="s">
        <v>22</v>
      </c>
      <c r="B46" s="12">
        <f t="shared" si="15"/>
        <v>1305.75</v>
      </c>
      <c r="C46" s="12"/>
      <c r="D46" s="69">
        <f t="shared" si="13"/>
        <v>1305.75</v>
      </c>
      <c r="E46" s="59">
        <v>0</v>
      </c>
      <c r="L46" s="65">
        <v>6</v>
      </c>
      <c r="M46" s="65">
        <f t="shared" si="14"/>
        <v>5645.75</v>
      </c>
      <c r="P46" s="71"/>
    </row>
    <row r="47" spans="1:21" x14ac:dyDescent="0.25">
      <c r="A47" s="12" t="s">
        <v>23</v>
      </c>
      <c r="B47" s="12">
        <f t="shared" si="15"/>
        <v>1405.75</v>
      </c>
      <c r="C47" s="12"/>
      <c r="D47" s="69">
        <f t="shared" si="13"/>
        <v>1405.75</v>
      </c>
      <c r="E47" s="59"/>
      <c r="L47" s="65">
        <v>7</v>
      </c>
      <c r="M47" s="65">
        <f t="shared" si="14"/>
        <v>5943.75</v>
      </c>
    </row>
    <row r="48" spans="1:21" x14ac:dyDescent="0.25">
      <c r="A48" s="12" t="s">
        <v>24</v>
      </c>
      <c r="B48" s="12">
        <f t="shared" si="15"/>
        <v>1405.75</v>
      </c>
      <c r="C48" s="12"/>
      <c r="D48" s="69">
        <f t="shared" si="13"/>
        <v>1405.75</v>
      </c>
      <c r="E48" s="59"/>
      <c r="L48" s="65">
        <v>8</v>
      </c>
      <c r="M48" s="65">
        <f t="shared" si="14"/>
        <v>6472.75</v>
      </c>
    </row>
    <row r="49" spans="1:13" x14ac:dyDescent="0.25">
      <c r="A49" s="12" t="s">
        <v>26</v>
      </c>
      <c r="B49" s="12">
        <f>SUM(J12,E49,M12)</f>
        <v>1405.75</v>
      </c>
      <c r="C49" s="12"/>
      <c r="D49" s="69">
        <f t="shared" si="13"/>
        <v>1405.75</v>
      </c>
      <c r="E49" s="59"/>
      <c r="L49" s="65">
        <v>9</v>
      </c>
      <c r="M49" s="65">
        <f>SUM(B31,G31,B49)</f>
        <v>6690.25</v>
      </c>
    </row>
    <row r="50" spans="1:13" x14ac:dyDescent="0.25">
      <c r="A50" s="12" t="s">
        <v>27</v>
      </c>
      <c r="B50" s="12">
        <f t="shared" si="15"/>
        <v>1405.75</v>
      </c>
      <c r="C50" s="12"/>
      <c r="D50" s="69">
        <f t="shared" si="13"/>
        <v>1405.75</v>
      </c>
      <c r="E50" s="59"/>
      <c r="L50" s="65">
        <v>10</v>
      </c>
      <c r="M50" s="65">
        <f t="shared" si="14"/>
        <v>6806.75</v>
      </c>
    </row>
    <row r="51" spans="1:13" x14ac:dyDescent="0.25">
      <c r="A51" s="12" t="s">
        <v>28</v>
      </c>
      <c r="B51" s="12">
        <f t="shared" si="15"/>
        <v>1305.75</v>
      </c>
      <c r="C51" s="12"/>
      <c r="D51" s="69">
        <f>SUM(B51,C51)</f>
        <v>1305.75</v>
      </c>
      <c r="E51" s="59"/>
      <c r="L51" s="65">
        <v>11</v>
      </c>
      <c r="M51" s="65">
        <f>SUM(B33,G33,B51)</f>
        <v>5824.75</v>
      </c>
    </row>
    <row r="52" spans="1:13" x14ac:dyDescent="0.25">
      <c r="A52" s="12" t="s">
        <v>29</v>
      </c>
      <c r="B52" s="12">
        <f t="shared" si="15"/>
        <v>1405.75</v>
      </c>
      <c r="C52" s="12"/>
      <c r="D52" s="69">
        <f t="shared" si="13"/>
        <v>1405.75</v>
      </c>
      <c r="E52" s="59"/>
      <c r="L52" s="67">
        <v>12</v>
      </c>
      <c r="M52" s="65">
        <f t="shared" si="14"/>
        <v>6167.25</v>
      </c>
    </row>
    <row r="53" spans="1:13" x14ac:dyDescent="0.25">
      <c r="A53" s="9" t="s">
        <v>30</v>
      </c>
      <c r="B53" s="7">
        <f>SUM(B41:B52)</f>
        <v>17552.25</v>
      </c>
      <c r="C53" s="3"/>
      <c r="D53" s="7">
        <f>SUM(D41:D52)</f>
        <v>17552.25</v>
      </c>
      <c r="E53" s="70">
        <f>SUM(E41:E52)</f>
        <v>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workbookViewId="0">
      <selection activeCell="L59" sqref="L59:L60"/>
    </sheetView>
  </sheetViews>
  <sheetFormatPr baseColWidth="10" defaultRowHeight="15" x14ac:dyDescent="0.25"/>
  <cols>
    <col min="1" max="6" width="11.42578125" style="53"/>
    <col min="7" max="7" width="17.28515625" style="53" customWidth="1"/>
    <col min="8" max="20" width="11.42578125" style="53"/>
    <col min="21" max="21" width="23.140625" style="53" customWidth="1"/>
    <col min="22" max="16384" width="11.42578125" style="53"/>
  </cols>
  <sheetData>
    <row r="1" spans="1:20" x14ac:dyDescent="0.25">
      <c r="B1" s="3"/>
      <c r="C1" s="3"/>
      <c r="D1" s="77" t="s">
        <v>6</v>
      </c>
      <c r="E1" s="59">
        <v>6400</v>
      </c>
    </row>
    <row r="2" spans="1:20" x14ac:dyDescent="0.25">
      <c r="B2" s="3"/>
      <c r="C2" s="3"/>
      <c r="D2" s="3"/>
      <c r="I2" s="5" t="s">
        <v>43</v>
      </c>
      <c r="J2" s="54"/>
      <c r="K2" s="54"/>
      <c r="L2" s="5" t="s">
        <v>44</v>
      </c>
      <c r="M2" s="54"/>
      <c r="N2" s="54"/>
      <c r="O2" s="5" t="s">
        <v>45</v>
      </c>
      <c r="P2" s="54"/>
      <c r="Q2" s="54"/>
      <c r="R2" s="5" t="s">
        <v>46</v>
      </c>
      <c r="T2" s="5" t="s">
        <v>42</v>
      </c>
    </row>
    <row r="3" spans="1:20" x14ac:dyDescent="0.25">
      <c r="A3" s="55" t="s">
        <v>5</v>
      </c>
      <c r="B3" s="55" t="s">
        <v>6</v>
      </c>
      <c r="C3" s="55" t="s">
        <v>7</v>
      </c>
      <c r="D3" s="55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56" t="s">
        <v>41</v>
      </c>
      <c r="K3" s="11" t="s">
        <v>13</v>
      </c>
      <c r="L3" s="10" t="s">
        <v>12</v>
      </c>
      <c r="M3" s="56" t="s">
        <v>41</v>
      </c>
      <c r="N3" s="11" t="s">
        <v>13</v>
      </c>
      <c r="O3" s="10" t="s">
        <v>12</v>
      </c>
      <c r="P3" s="56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0" x14ac:dyDescent="0.25">
      <c r="A4" s="12" t="s">
        <v>14</v>
      </c>
      <c r="B4" s="12">
        <v>5810</v>
      </c>
      <c r="C4" s="12">
        <v>1223</v>
      </c>
      <c r="D4" s="12">
        <v>1641</v>
      </c>
      <c r="E4" s="57">
        <f>CUENTAS!B16</f>
        <v>882</v>
      </c>
      <c r="F4" s="58">
        <f>CUENTAS!B17</f>
        <v>630</v>
      </c>
      <c r="G4" s="57">
        <f t="shared" ref="G4:G15" si="0">SUM(B4:F4)</f>
        <v>10186</v>
      </c>
      <c r="I4" s="58">
        <v>1000</v>
      </c>
      <c r="J4" s="58">
        <v>1000</v>
      </c>
      <c r="K4" s="58">
        <v>1354</v>
      </c>
      <c r="L4" s="58">
        <f>C4/4</f>
        <v>305.75</v>
      </c>
      <c r="M4" s="58">
        <f>C4/4</f>
        <v>305.75</v>
      </c>
      <c r="N4" s="58">
        <f>C4/4</f>
        <v>305.75</v>
      </c>
      <c r="O4" s="58">
        <f>D4/4</f>
        <v>410.25</v>
      </c>
      <c r="P4" s="58">
        <f>D4/4</f>
        <v>410.25</v>
      </c>
      <c r="Q4" s="58">
        <f>D4/4</f>
        <v>410.25</v>
      </c>
      <c r="R4" s="58">
        <f>E4/4</f>
        <v>220.5</v>
      </c>
      <c r="S4" s="58">
        <f>E4/4</f>
        <v>220.5</v>
      </c>
      <c r="T4" s="58">
        <f>F4/4</f>
        <v>157.5</v>
      </c>
    </row>
    <row r="5" spans="1:20" x14ac:dyDescent="0.25">
      <c r="A5" s="12" t="s">
        <v>17</v>
      </c>
      <c r="B5" s="12">
        <v>7492</v>
      </c>
      <c r="C5" s="12">
        <v>1285</v>
      </c>
      <c r="D5" s="12">
        <v>1641</v>
      </c>
      <c r="E5" s="57">
        <f>CUENTAS!B16</f>
        <v>882</v>
      </c>
      <c r="F5" s="58">
        <f>CUENTAS!B17</f>
        <v>630</v>
      </c>
      <c r="G5" s="57">
        <f t="shared" si="0"/>
        <v>11930</v>
      </c>
      <c r="I5" s="58">
        <v>1150</v>
      </c>
      <c r="J5" s="58">
        <v>1150</v>
      </c>
      <c r="K5" s="58">
        <v>1814</v>
      </c>
      <c r="L5" s="58">
        <f t="shared" ref="L5:L15" si="1">C5/4</f>
        <v>321.25</v>
      </c>
      <c r="M5" s="58">
        <f t="shared" ref="M5:M15" si="2">C5/4</f>
        <v>321.25</v>
      </c>
      <c r="N5" s="58">
        <f t="shared" ref="N5:O15" si="3">C5/4</f>
        <v>321.25</v>
      </c>
      <c r="O5" s="58">
        <f t="shared" si="3"/>
        <v>410.25</v>
      </c>
      <c r="P5" s="58">
        <f t="shared" ref="P5:P15" si="4">D5/4</f>
        <v>410.25</v>
      </c>
      <c r="Q5" s="58">
        <f t="shared" ref="Q5:R15" si="5">D5/4</f>
        <v>410.25</v>
      </c>
      <c r="R5" s="58">
        <f t="shared" si="5"/>
        <v>220.5</v>
      </c>
      <c r="S5" s="58">
        <f t="shared" ref="S5:T15" si="6">E5/4</f>
        <v>220.5</v>
      </c>
      <c r="T5" s="58">
        <f t="shared" si="6"/>
        <v>157.5</v>
      </c>
    </row>
    <row r="6" spans="1:20" x14ac:dyDescent="0.25">
      <c r="A6" s="12" t="s">
        <v>19</v>
      </c>
      <c r="B6" s="12">
        <v>7948</v>
      </c>
      <c r="C6" s="12">
        <v>1285</v>
      </c>
      <c r="D6" s="12">
        <v>1733</v>
      </c>
      <c r="E6" s="57">
        <f>CUENTAS!B16</f>
        <v>882</v>
      </c>
      <c r="F6" s="58">
        <f>CUENTAS!B17</f>
        <v>630</v>
      </c>
      <c r="G6" s="57">
        <f t="shared" si="0"/>
        <v>12478</v>
      </c>
      <c r="I6" s="58">
        <v>1150</v>
      </c>
      <c r="J6" s="58">
        <v>1150</v>
      </c>
      <c r="K6" s="58">
        <v>1800</v>
      </c>
      <c r="L6" s="58">
        <f t="shared" si="1"/>
        <v>321.25</v>
      </c>
      <c r="M6" s="58">
        <f t="shared" si="2"/>
        <v>321.25</v>
      </c>
      <c r="N6" s="58">
        <f t="shared" si="3"/>
        <v>321.25</v>
      </c>
      <c r="O6" s="58">
        <f t="shared" si="3"/>
        <v>433.25</v>
      </c>
      <c r="P6" s="58">
        <f t="shared" si="4"/>
        <v>433.25</v>
      </c>
      <c r="Q6" s="58">
        <f t="shared" si="5"/>
        <v>433.25</v>
      </c>
      <c r="R6" s="58">
        <f t="shared" si="5"/>
        <v>220.5</v>
      </c>
      <c r="S6" s="58">
        <f t="shared" si="6"/>
        <v>220.5</v>
      </c>
      <c r="T6" s="58">
        <f t="shared" si="6"/>
        <v>157.5</v>
      </c>
    </row>
    <row r="7" spans="1:20" x14ac:dyDescent="0.25">
      <c r="A7" s="12" t="s">
        <v>20</v>
      </c>
      <c r="B7" s="12">
        <v>7124</v>
      </c>
      <c r="C7" s="12">
        <v>1290</v>
      </c>
      <c r="D7" s="12">
        <v>1733</v>
      </c>
      <c r="E7" s="57">
        <f>CUENTAS!B16</f>
        <v>882</v>
      </c>
      <c r="F7" s="58">
        <f>CUENTAS!B17</f>
        <v>630</v>
      </c>
      <c r="G7" s="57">
        <f t="shared" si="0"/>
        <v>11659</v>
      </c>
      <c r="I7" s="58">
        <v>1000</v>
      </c>
      <c r="J7" s="58">
        <v>1000</v>
      </c>
      <c r="K7" s="58">
        <v>1791</v>
      </c>
      <c r="L7" s="58">
        <f t="shared" si="1"/>
        <v>322.5</v>
      </c>
      <c r="M7" s="58">
        <f t="shared" si="2"/>
        <v>322.5</v>
      </c>
      <c r="N7" s="58">
        <f t="shared" si="3"/>
        <v>322.5</v>
      </c>
      <c r="O7" s="58">
        <f t="shared" si="3"/>
        <v>433.25</v>
      </c>
      <c r="P7" s="58">
        <f t="shared" si="4"/>
        <v>433.25</v>
      </c>
      <c r="Q7" s="58">
        <f t="shared" si="5"/>
        <v>433.25</v>
      </c>
      <c r="R7" s="58">
        <f t="shared" si="5"/>
        <v>220.5</v>
      </c>
      <c r="S7" s="58">
        <f t="shared" si="6"/>
        <v>220.5</v>
      </c>
      <c r="T7" s="58">
        <f t="shared" si="6"/>
        <v>157.5</v>
      </c>
    </row>
    <row r="8" spans="1:20" x14ac:dyDescent="0.25">
      <c r="A8" s="12" t="s">
        <v>21</v>
      </c>
      <c r="B8" s="12">
        <v>6353</v>
      </c>
      <c r="C8" s="12">
        <v>1290</v>
      </c>
      <c r="D8" s="12">
        <v>1733</v>
      </c>
      <c r="E8" s="57">
        <f>CUENTAS!B16</f>
        <v>882</v>
      </c>
      <c r="F8" s="58">
        <f>CUENTAS!B17</f>
        <v>630</v>
      </c>
      <c r="G8" s="57">
        <f t="shared" si="0"/>
        <v>10888</v>
      </c>
      <c r="I8" s="58">
        <v>900</v>
      </c>
      <c r="J8" s="58">
        <v>900</v>
      </c>
      <c r="K8" s="58">
        <v>1601</v>
      </c>
      <c r="L8" s="58">
        <f t="shared" si="1"/>
        <v>322.5</v>
      </c>
      <c r="M8" s="58">
        <f t="shared" si="2"/>
        <v>322.5</v>
      </c>
      <c r="N8" s="58">
        <f t="shared" si="3"/>
        <v>322.5</v>
      </c>
      <c r="O8" s="58">
        <f t="shared" si="3"/>
        <v>433.25</v>
      </c>
      <c r="P8" s="58">
        <f t="shared" si="4"/>
        <v>433.25</v>
      </c>
      <c r="Q8" s="58">
        <f t="shared" si="5"/>
        <v>433.25</v>
      </c>
      <c r="R8" s="58">
        <f t="shared" si="5"/>
        <v>220.5</v>
      </c>
      <c r="S8" s="58">
        <f t="shared" si="6"/>
        <v>220.5</v>
      </c>
      <c r="T8" s="58">
        <f t="shared" si="6"/>
        <v>157.5</v>
      </c>
    </row>
    <row r="9" spans="1:20" x14ac:dyDescent="0.25">
      <c r="A9" s="12" t="s">
        <v>22</v>
      </c>
      <c r="B9" s="12">
        <v>6929</v>
      </c>
      <c r="C9" s="12">
        <v>1290</v>
      </c>
      <c r="D9" s="12">
        <v>1733</v>
      </c>
      <c r="E9" s="57">
        <f>CUENTAS!B16</f>
        <v>882</v>
      </c>
      <c r="F9" s="58">
        <f>CUENTAS!B17</f>
        <v>630</v>
      </c>
      <c r="G9" s="57">
        <f t="shared" si="0"/>
        <v>11464</v>
      </c>
      <c r="I9" s="58">
        <v>1100</v>
      </c>
      <c r="J9" s="58">
        <v>1100</v>
      </c>
      <c r="K9" s="58">
        <v>1659</v>
      </c>
      <c r="L9" s="58">
        <f t="shared" si="1"/>
        <v>322.5</v>
      </c>
      <c r="M9" s="58">
        <f t="shared" si="2"/>
        <v>322.5</v>
      </c>
      <c r="N9" s="58">
        <f t="shared" si="3"/>
        <v>322.5</v>
      </c>
      <c r="O9" s="58">
        <f t="shared" si="3"/>
        <v>433.25</v>
      </c>
      <c r="P9" s="58">
        <f t="shared" si="4"/>
        <v>433.25</v>
      </c>
      <c r="Q9" s="58">
        <f t="shared" si="5"/>
        <v>433.25</v>
      </c>
      <c r="R9" s="58">
        <f t="shared" si="5"/>
        <v>220.5</v>
      </c>
      <c r="S9" s="58">
        <f t="shared" si="6"/>
        <v>220.5</v>
      </c>
      <c r="T9" s="58">
        <f t="shared" si="6"/>
        <v>157.5</v>
      </c>
    </row>
    <row r="10" spans="1:20" x14ac:dyDescent="0.25">
      <c r="A10" s="12" t="s">
        <v>23</v>
      </c>
      <c r="B10" s="12">
        <v>7713</v>
      </c>
      <c r="C10" s="12">
        <v>1290</v>
      </c>
      <c r="D10" s="12">
        <v>1733</v>
      </c>
      <c r="E10" s="57">
        <f>CUENTAS!B16</f>
        <v>882</v>
      </c>
      <c r="F10" s="58">
        <f>CUENTAS!B17</f>
        <v>630</v>
      </c>
      <c r="G10" s="57">
        <f t="shared" si="0"/>
        <v>12248</v>
      </c>
      <c r="I10" s="58">
        <v>1150</v>
      </c>
      <c r="J10" s="58">
        <v>1150</v>
      </c>
      <c r="K10" s="58">
        <v>1936</v>
      </c>
      <c r="L10" s="58">
        <f t="shared" si="1"/>
        <v>322.5</v>
      </c>
      <c r="M10" s="58">
        <f t="shared" si="2"/>
        <v>322.5</v>
      </c>
      <c r="N10" s="58">
        <f t="shared" si="3"/>
        <v>322.5</v>
      </c>
      <c r="O10" s="58">
        <f t="shared" si="3"/>
        <v>433.25</v>
      </c>
      <c r="P10" s="58">
        <f t="shared" si="4"/>
        <v>433.25</v>
      </c>
      <c r="Q10" s="58">
        <f t="shared" si="5"/>
        <v>433.25</v>
      </c>
      <c r="R10" s="58">
        <f t="shared" si="5"/>
        <v>220.5</v>
      </c>
      <c r="S10" s="58">
        <f t="shared" si="6"/>
        <v>220.5</v>
      </c>
      <c r="T10" s="58">
        <f t="shared" si="6"/>
        <v>157.5</v>
      </c>
    </row>
    <row r="11" spans="1:20" x14ac:dyDescent="0.25">
      <c r="A11" s="12" t="s">
        <v>24</v>
      </c>
      <c r="B11" s="12">
        <v>7793</v>
      </c>
      <c r="C11" s="12">
        <v>1290</v>
      </c>
      <c r="D11" s="12">
        <v>1733</v>
      </c>
      <c r="E11" s="57">
        <f>CUENTAS!B16</f>
        <v>882</v>
      </c>
      <c r="F11" s="58">
        <f>CUENTAS!B17</f>
        <v>630</v>
      </c>
      <c r="G11" s="57">
        <f t="shared" si="0"/>
        <v>12328</v>
      </c>
      <c r="I11" s="58">
        <v>1150</v>
      </c>
      <c r="J11" s="58">
        <v>1150</v>
      </c>
      <c r="K11" s="58">
        <v>2031</v>
      </c>
      <c r="L11" s="58">
        <f t="shared" si="1"/>
        <v>322.5</v>
      </c>
      <c r="M11" s="58">
        <f t="shared" si="2"/>
        <v>322.5</v>
      </c>
      <c r="N11" s="58">
        <f t="shared" si="3"/>
        <v>322.5</v>
      </c>
      <c r="O11" s="58">
        <f t="shared" si="3"/>
        <v>433.25</v>
      </c>
      <c r="P11" s="58">
        <f t="shared" si="4"/>
        <v>433.25</v>
      </c>
      <c r="Q11" s="58">
        <f t="shared" si="5"/>
        <v>433.25</v>
      </c>
      <c r="R11" s="58">
        <f t="shared" si="5"/>
        <v>220.5</v>
      </c>
      <c r="S11" s="58">
        <f t="shared" si="6"/>
        <v>220.5</v>
      </c>
      <c r="T11" s="58">
        <f t="shared" si="6"/>
        <v>157.5</v>
      </c>
    </row>
    <row r="12" spans="1:20" x14ac:dyDescent="0.25">
      <c r="A12" s="12" t="s">
        <v>26</v>
      </c>
      <c r="B12" s="12">
        <v>8539</v>
      </c>
      <c r="C12" s="12">
        <v>1290</v>
      </c>
      <c r="D12" s="12">
        <v>1733</v>
      </c>
      <c r="E12" s="57">
        <f>CUENTAS!B16</f>
        <v>882</v>
      </c>
      <c r="F12" s="58">
        <f>CUENTAS!B17</f>
        <v>630</v>
      </c>
      <c r="G12" s="57">
        <f t="shared" si="0"/>
        <v>13074</v>
      </c>
      <c r="I12" s="58">
        <v>1150</v>
      </c>
      <c r="J12" s="58">
        <v>1150</v>
      </c>
      <c r="K12" s="58">
        <v>2437</v>
      </c>
      <c r="L12" s="58">
        <f t="shared" si="1"/>
        <v>322.5</v>
      </c>
      <c r="M12" s="58">
        <f t="shared" si="2"/>
        <v>322.5</v>
      </c>
      <c r="N12" s="58">
        <f t="shared" si="3"/>
        <v>322.5</v>
      </c>
      <c r="O12" s="58">
        <f t="shared" si="3"/>
        <v>433.25</v>
      </c>
      <c r="P12" s="58">
        <f t="shared" si="4"/>
        <v>433.25</v>
      </c>
      <c r="Q12" s="58">
        <f t="shared" si="5"/>
        <v>433.25</v>
      </c>
      <c r="R12" s="58">
        <f t="shared" si="5"/>
        <v>220.5</v>
      </c>
      <c r="S12" s="58">
        <f t="shared" si="6"/>
        <v>220.5</v>
      </c>
      <c r="T12" s="58">
        <f t="shared" si="6"/>
        <v>157.5</v>
      </c>
    </row>
    <row r="13" spans="1:20" x14ac:dyDescent="0.25">
      <c r="A13" s="12" t="s">
        <v>27</v>
      </c>
      <c r="B13" s="12">
        <v>8188</v>
      </c>
      <c r="C13" s="12">
        <v>1290</v>
      </c>
      <c r="D13" s="12">
        <v>1639</v>
      </c>
      <c r="E13" s="57">
        <f>CUENTAS!B16</f>
        <v>882</v>
      </c>
      <c r="F13" s="58">
        <f>CUENTAS!B17</f>
        <v>630</v>
      </c>
      <c r="G13" s="57">
        <f t="shared" si="0"/>
        <v>12629</v>
      </c>
      <c r="I13" s="58">
        <v>1150</v>
      </c>
      <c r="J13" s="58">
        <v>1150</v>
      </c>
      <c r="K13" s="58">
        <v>2178</v>
      </c>
      <c r="L13" s="58">
        <f t="shared" si="1"/>
        <v>322.5</v>
      </c>
      <c r="M13" s="58">
        <f t="shared" si="2"/>
        <v>322.5</v>
      </c>
      <c r="N13" s="58">
        <f t="shared" si="3"/>
        <v>322.5</v>
      </c>
      <c r="O13" s="58">
        <f t="shared" si="3"/>
        <v>409.75</v>
      </c>
      <c r="P13" s="58">
        <f t="shared" si="4"/>
        <v>409.75</v>
      </c>
      <c r="Q13" s="58">
        <f t="shared" si="5"/>
        <v>409.75</v>
      </c>
      <c r="R13" s="58">
        <f t="shared" si="5"/>
        <v>220.5</v>
      </c>
      <c r="S13" s="58">
        <f t="shared" si="6"/>
        <v>220.5</v>
      </c>
      <c r="T13" s="58">
        <f t="shared" si="6"/>
        <v>157.5</v>
      </c>
    </row>
    <row r="14" spans="1:20" x14ac:dyDescent="0.25">
      <c r="A14" s="12" t="s">
        <v>28</v>
      </c>
      <c r="B14" s="12">
        <v>6955</v>
      </c>
      <c r="C14" s="12">
        <v>1290</v>
      </c>
      <c r="D14" s="12">
        <v>771</v>
      </c>
      <c r="E14" s="57">
        <f>CUENTAS!B16</f>
        <v>882</v>
      </c>
      <c r="F14" s="58">
        <f>CUENTAS!B17</f>
        <v>630</v>
      </c>
      <c r="G14" s="57">
        <f t="shared" si="0"/>
        <v>10528</v>
      </c>
      <c r="I14" s="58">
        <v>1150</v>
      </c>
      <c r="J14" s="58">
        <v>1150</v>
      </c>
      <c r="K14" s="58">
        <v>1645</v>
      </c>
      <c r="L14" s="58">
        <f t="shared" si="1"/>
        <v>322.5</v>
      </c>
      <c r="M14" s="58">
        <f t="shared" si="2"/>
        <v>322.5</v>
      </c>
      <c r="N14" s="58">
        <f t="shared" si="3"/>
        <v>322.5</v>
      </c>
      <c r="O14" s="58">
        <f t="shared" si="3"/>
        <v>192.75</v>
      </c>
      <c r="P14" s="58">
        <f t="shared" si="4"/>
        <v>192.75</v>
      </c>
      <c r="Q14" s="58">
        <f t="shared" si="5"/>
        <v>192.75</v>
      </c>
      <c r="R14" s="58">
        <f t="shared" si="5"/>
        <v>220.5</v>
      </c>
      <c r="S14" s="58">
        <f t="shared" si="6"/>
        <v>220.5</v>
      </c>
      <c r="T14" s="58">
        <f t="shared" si="6"/>
        <v>157.5</v>
      </c>
    </row>
    <row r="15" spans="1:20" x14ac:dyDescent="0.25">
      <c r="A15" s="12" t="s">
        <v>29</v>
      </c>
      <c r="B15" s="12">
        <v>7485</v>
      </c>
      <c r="C15" s="12">
        <v>1290</v>
      </c>
      <c r="D15" s="12">
        <v>771</v>
      </c>
      <c r="E15" s="57">
        <f>CUENTAS!B16</f>
        <v>882</v>
      </c>
      <c r="F15" s="58">
        <f>CUENTAS!B17</f>
        <v>630</v>
      </c>
      <c r="G15" s="57">
        <f t="shared" si="0"/>
        <v>11058</v>
      </c>
      <c r="I15" s="58">
        <v>1150</v>
      </c>
      <c r="J15" s="58">
        <v>1150</v>
      </c>
      <c r="K15" s="58">
        <v>1911</v>
      </c>
      <c r="L15" s="58">
        <f t="shared" si="1"/>
        <v>322.5</v>
      </c>
      <c r="M15" s="58">
        <f t="shared" si="2"/>
        <v>322.5</v>
      </c>
      <c r="N15" s="58">
        <f t="shared" si="3"/>
        <v>322.5</v>
      </c>
      <c r="O15" s="58">
        <f t="shared" si="3"/>
        <v>192.75</v>
      </c>
      <c r="P15" s="58">
        <f t="shared" si="4"/>
        <v>192.75</v>
      </c>
      <c r="Q15" s="58">
        <f t="shared" si="5"/>
        <v>192.75</v>
      </c>
      <c r="R15" s="58">
        <f t="shared" si="5"/>
        <v>220.5</v>
      </c>
      <c r="S15" s="58">
        <f t="shared" si="6"/>
        <v>220.5</v>
      </c>
      <c r="T15" s="58">
        <f t="shared" si="6"/>
        <v>157.5</v>
      </c>
    </row>
    <row r="16" spans="1:20" x14ac:dyDescent="0.25">
      <c r="A16" s="9" t="s">
        <v>30</v>
      </c>
      <c r="B16" s="7">
        <f t="shared" ref="B16:F16" si="7">SUM(B4:B15)</f>
        <v>88329</v>
      </c>
      <c r="C16" s="7">
        <f t="shared" si="7"/>
        <v>15403</v>
      </c>
      <c r="D16" s="7">
        <f t="shared" si="7"/>
        <v>18594</v>
      </c>
      <c r="E16" s="7">
        <f t="shared" si="7"/>
        <v>10584</v>
      </c>
      <c r="F16" s="7">
        <f t="shared" si="7"/>
        <v>7560</v>
      </c>
      <c r="G16" s="22">
        <f>SUM(B16:F16)</f>
        <v>140470</v>
      </c>
    </row>
    <row r="17" spans="1:20" x14ac:dyDescent="0.25">
      <c r="B17" s="3"/>
      <c r="C17" s="3"/>
      <c r="D17" s="3"/>
    </row>
    <row r="18" spans="1:20" x14ac:dyDescent="0.25">
      <c r="B18" s="3"/>
      <c r="C18" s="3"/>
      <c r="D18" s="3"/>
    </row>
    <row r="19" spans="1:20" x14ac:dyDescent="0.25">
      <c r="B19" s="3"/>
      <c r="C19" s="3"/>
      <c r="D19" s="3"/>
    </row>
    <row r="20" spans="1:20" x14ac:dyDescent="0.25">
      <c r="B20" s="3"/>
      <c r="C20" s="3"/>
      <c r="D20" s="3"/>
    </row>
    <row r="21" spans="1:20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59"/>
      <c r="R21" s="60" t="s">
        <v>58</v>
      </c>
      <c r="S21" s="60" t="s">
        <v>48</v>
      </c>
      <c r="T21" s="60" t="s">
        <v>51</v>
      </c>
    </row>
    <row r="22" spans="1:20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59">
        <v>1</v>
      </c>
      <c r="R22" s="61">
        <v>0</v>
      </c>
      <c r="S22" s="62">
        <v>0</v>
      </c>
      <c r="T22" s="61">
        <v>0</v>
      </c>
    </row>
    <row r="23" spans="1:20" x14ac:dyDescent="0.25">
      <c r="A23" s="12" t="s">
        <v>14</v>
      </c>
      <c r="B23" s="12">
        <f>SUM(I4,L4,O4,R4,N23)</f>
        <v>2079.5</v>
      </c>
      <c r="C23" s="12"/>
      <c r="D23" s="27">
        <f>SUM(B23,C23)</f>
        <v>2079.5</v>
      </c>
      <c r="F23" s="12" t="s">
        <v>14</v>
      </c>
      <c r="G23" s="12">
        <f>SUM(K4,N4,Q4,S4,T4,O23,S22,R22,T22)</f>
        <v>2448</v>
      </c>
      <c r="H23" s="58"/>
      <c r="I23" s="27">
        <f t="shared" ref="I23:I34" si="8">SUM(G23,H23)</f>
        <v>2448</v>
      </c>
      <c r="L23" s="12" t="s">
        <v>14</v>
      </c>
      <c r="M23" s="58">
        <f>SUM(H41)</f>
        <v>0</v>
      </c>
      <c r="N23" s="58">
        <v>143</v>
      </c>
      <c r="O23" s="58">
        <v>0</v>
      </c>
      <c r="Q23" s="63">
        <v>2</v>
      </c>
      <c r="R23" s="61">
        <v>0</v>
      </c>
      <c r="S23" s="62">
        <v>0</v>
      </c>
      <c r="T23" s="62">
        <v>0</v>
      </c>
    </row>
    <row r="24" spans="1:20" x14ac:dyDescent="0.25">
      <c r="A24" s="12" t="s">
        <v>17</v>
      </c>
      <c r="B24" s="12">
        <f t="shared" ref="B24:B34" si="9">SUM(I5,L5,O5,R5,N24)</f>
        <v>2245</v>
      </c>
      <c r="C24" s="12"/>
      <c r="D24" s="27">
        <f t="shared" ref="D24:D34" si="10">SUM(B24,C24)</f>
        <v>2245</v>
      </c>
      <c r="F24" s="12" t="s">
        <v>17</v>
      </c>
      <c r="G24" s="12">
        <f>SUM(K5,N5,Q5,S5,T5,O24,S23,R23,T23)</f>
        <v>2923.5</v>
      </c>
      <c r="H24" s="58"/>
      <c r="I24" s="27">
        <f t="shared" si="8"/>
        <v>2923.5</v>
      </c>
      <c r="L24" s="12" t="s">
        <v>17</v>
      </c>
      <c r="M24" s="58">
        <f>SUM(H41)</f>
        <v>0</v>
      </c>
      <c r="N24" s="58">
        <v>143</v>
      </c>
      <c r="O24" s="58">
        <v>0</v>
      </c>
      <c r="Q24" s="59">
        <v>3</v>
      </c>
      <c r="R24" s="61">
        <v>0</v>
      </c>
      <c r="S24" s="62">
        <v>0</v>
      </c>
      <c r="T24" s="62">
        <v>0</v>
      </c>
    </row>
    <row r="25" spans="1:20" x14ac:dyDescent="0.25">
      <c r="A25" s="12" t="s">
        <v>19</v>
      </c>
      <c r="B25" s="12">
        <f t="shared" si="9"/>
        <v>2268</v>
      </c>
      <c r="C25" s="12"/>
      <c r="D25" s="27">
        <f t="shared" si="10"/>
        <v>2268</v>
      </c>
      <c r="F25" s="12" t="s">
        <v>19</v>
      </c>
      <c r="G25" s="12">
        <f t="shared" ref="G25:G34" si="11">SUM(K6,N6,Q6,S6,T6,O25,S24,R24,T24)</f>
        <v>2932.5</v>
      </c>
      <c r="H25" s="58"/>
      <c r="I25" s="27">
        <f t="shared" si="8"/>
        <v>2932.5</v>
      </c>
      <c r="L25" s="12" t="s">
        <v>19</v>
      </c>
      <c r="M25" s="58">
        <f>SUM(H41)</f>
        <v>0</v>
      </c>
      <c r="N25" s="58">
        <v>143</v>
      </c>
      <c r="O25" s="58">
        <v>0</v>
      </c>
      <c r="Q25" s="59">
        <v>4</v>
      </c>
      <c r="R25" s="61">
        <v>0</v>
      </c>
      <c r="S25" s="62">
        <v>0</v>
      </c>
      <c r="T25" s="62">
        <v>0</v>
      </c>
    </row>
    <row r="26" spans="1:20" x14ac:dyDescent="0.25">
      <c r="A26" s="12" t="s">
        <v>20</v>
      </c>
      <c r="B26" s="12">
        <f t="shared" si="9"/>
        <v>2125.25</v>
      </c>
      <c r="C26" s="12"/>
      <c r="D26" s="27">
        <f t="shared" si="10"/>
        <v>2125.25</v>
      </c>
      <c r="F26" s="12" t="s">
        <v>20</v>
      </c>
      <c r="G26" s="12">
        <f t="shared" si="11"/>
        <v>2924.75</v>
      </c>
      <c r="H26" s="58"/>
      <c r="I26" s="27">
        <f t="shared" si="8"/>
        <v>2924.75</v>
      </c>
      <c r="L26" s="12" t="s">
        <v>20</v>
      </c>
      <c r="M26" s="58">
        <f>SUM(H41)</f>
        <v>0</v>
      </c>
      <c r="N26" s="58">
        <v>149</v>
      </c>
      <c r="O26" s="58">
        <v>0</v>
      </c>
      <c r="Q26" s="59">
        <v>5</v>
      </c>
      <c r="R26" s="61">
        <v>0</v>
      </c>
      <c r="S26" s="62">
        <v>0</v>
      </c>
      <c r="T26" s="62">
        <v>0</v>
      </c>
    </row>
    <row r="27" spans="1:20" x14ac:dyDescent="0.25">
      <c r="A27" s="12" t="s">
        <v>21</v>
      </c>
      <c r="B27" s="12">
        <f>SUM(I8,L8,O8,R8,N27)</f>
        <v>2025.25</v>
      </c>
      <c r="C27" s="12"/>
      <c r="D27" s="27">
        <f t="shared" si="10"/>
        <v>2025.25</v>
      </c>
      <c r="F27" s="12" t="s">
        <v>21</v>
      </c>
      <c r="G27" s="12">
        <f t="shared" si="11"/>
        <v>2734.75</v>
      </c>
      <c r="H27" s="58"/>
      <c r="I27" s="27">
        <f t="shared" si="8"/>
        <v>2734.75</v>
      </c>
      <c r="L27" s="12" t="s">
        <v>21</v>
      </c>
      <c r="M27" s="58">
        <f>SUM(H41)</f>
        <v>0</v>
      </c>
      <c r="N27" s="58">
        <v>149</v>
      </c>
      <c r="O27" s="58">
        <v>0</v>
      </c>
      <c r="Q27" s="59">
        <v>6</v>
      </c>
      <c r="R27" s="61">
        <v>0</v>
      </c>
      <c r="S27" s="62">
        <v>0</v>
      </c>
      <c r="T27" s="62">
        <v>0</v>
      </c>
    </row>
    <row r="28" spans="1:20" x14ac:dyDescent="0.25">
      <c r="A28" s="12" t="s">
        <v>22</v>
      </c>
      <c r="B28" s="12">
        <f t="shared" si="9"/>
        <v>2235.25</v>
      </c>
      <c r="C28" s="12"/>
      <c r="D28" s="27">
        <f t="shared" si="10"/>
        <v>2235.25</v>
      </c>
      <c r="F28" s="12" t="s">
        <v>22</v>
      </c>
      <c r="G28" s="12">
        <f t="shared" si="11"/>
        <v>2951.75</v>
      </c>
      <c r="H28" s="58"/>
      <c r="I28" s="27">
        <f t="shared" si="8"/>
        <v>2951.75</v>
      </c>
      <c r="L28" s="12" t="s">
        <v>22</v>
      </c>
      <c r="M28" s="58">
        <f>SUM(H41)</f>
        <v>0</v>
      </c>
      <c r="N28" s="58">
        <v>159</v>
      </c>
      <c r="O28" s="58">
        <v>159</v>
      </c>
      <c r="Q28" s="59">
        <v>7</v>
      </c>
      <c r="R28" s="61">
        <v>0</v>
      </c>
      <c r="S28" s="62">
        <v>0</v>
      </c>
      <c r="T28" s="62">
        <v>0</v>
      </c>
    </row>
    <row r="29" spans="1:20" x14ac:dyDescent="0.25">
      <c r="A29" s="12" t="s">
        <v>23</v>
      </c>
      <c r="B29" s="12">
        <f>SUM(I10,L10,O10,R10,N29)</f>
        <v>2126.25</v>
      </c>
      <c r="C29" s="12"/>
      <c r="D29" s="27">
        <f t="shared" si="10"/>
        <v>2126.25</v>
      </c>
      <c r="F29" s="12" t="s">
        <v>23</v>
      </c>
      <c r="G29" s="12">
        <f t="shared" si="11"/>
        <v>3069.75</v>
      </c>
      <c r="H29" s="58"/>
      <c r="I29" s="27">
        <f t="shared" si="8"/>
        <v>3069.75</v>
      </c>
      <c r="L29" s="12" t="s">
        <v>23</v>
      </c>
      <c r="M29" s="58">
        <f>SUM(H41)</f>
        <v>0</v>
      </c>
      <c r="N29" s="58">
        <v>0</v>
      </c>
      <c r="O29" s="58">
        <f t="shared" ref="O29" si="12">M29/3</f>
        <v>0</v>
      </c>
      <c r="Q29" s="59">
        <v>8</v>
      </c>
      <c r="R29" s="61">
        <v>0</v>
      </c>
      <c r="S29" s="62">
        <v>0</v>
      </c>
      <c r="T29" s="62">
        <v>0</v>
      </c>
    </row>
    <row r="30" spans="1:20" x14ac:dyDescent="0.25">
      <c r="A30" s="12" t="s">
        <v>24</v>
      </c>
      <c r="B30" s="12">
        <f>SUM(I11,L11,O11,R11,N30)</f>
        <v>2126.25</v>
      </c>
      <c r="C30" s="12"/>
      <c r="D30" s="27">
        <f t="shared" si="10"/>
        <v>2126.25</v>
      </c>
      <c r="F30" s="12" t="s">
        <v>24</v>
      </c>
      <c r="G30" s="12">
        <f t="shared" si="11"/>
        <v>3164.75</v>
      </c>
      <c r="H30" s="58"/>
      <c r="I30" s="27">
        <f t="shared" si="8"/>
        <v>3164.75</v>
      </c>
      <c r="L30" s="12" t="s">
        <v>24</v>
      </c>
      <c r="M30" s="58">
        <f>SUM(H41)</f>
        <v>0</v>
      </c>
      <c r="N30" s="58">
        <v>0</v>
      </c>
      <c r="O30" s="58">
        <v>0</v>
      </c>
      <c r="Q30" s="59">
        <v>9</v>
      </c>
      <c r="R30" s="61">
        <v>0</v>
      </c>
      <c r="S30" s="62">
        <v>0</v>
      </c>
      <c r="T30" s="62">
        <v>0</v>
      </c>
    </row>
    <row r="31" spans="1:20" x14ac:dyDescent="0.25">
      <c r="A31" s="12" t="s">
        <v>26</v>
      </c>
      <c r="B31" s="12">
        <f>SUM(I12,L12,O12,R12,N31)</f>
        <v>2126.25</v>
      </c>
      <c r="C31" s="12"/>
      <c r="D31" s="27">
        <f t="shared" si="10"/>
        <v>2126.25</v>
      </c>
      <c r="F31" s="12" t="s">
        <v>26</v>
      </c>
      <c r="G31" s="12">
        <f t="shared" si="11"/>
        <v>3570.75</v>
      </c>
      <c r="H31" s="58"/>
      <c r="I31" s="27">
        <f t="shared" si="8"/>
        <v>3570.75</v>
      </c>
      <c r="L31" s="12" t="s">
        <v>26</v>
      </c>
      <c r="M31" s="58">
        <f>SUM(H41)</f>
        <v>0</v>
      </c>
      <c r="N31" s="58">
        <v>0</v>
      </c>
      <c r="O31" s="58">
        <v>0</v>
      </c>
      <c r="Q31" s="59">
        <v>10</v>
      </c>
      <c r="R31" s="61">
        <v>0</v>
      </c>
      <c r="S31" s="62">
        <v>0</v>
      </c>
      <c r="T31" s="62">
        <v>0</v>
      </c>
    </row>
    <row r="32" spans="1:20" x14ac:dyDescent="0.25">
      <c r="A32" s="12" t="s">
        <v>27</v>
      </c>
      <c r="B32" s="12">
        <f t="shared" si="9"/>
        <v>2102.75</v>
      </c>
      <c r="C32" s="12"/>
      <c r="D32" s="27">
        <f t="shared" si="10"/>
        <v>2102.75</v>
      </c>
      <c r="F32" s="12" t="s">
        <v>27</v>
      </c>
      <c r="G32" s="12">
        <f t="shared" si="11"/>
        <v>3288.25</v>
      </c>
      <c r="H32" s="58"/>
      <c r="I32" s="27">
        <f t="shared" si="8"/>
        <v>3288.25</v>
      </c>
      <c r="L32" s="12" t="s">
        <v>27</v>
      </c>
      <c r="M32" s="58">
        <f>SUM(H41)</f>
        <v>0</v>
      </c>
      <c r="N32" s="58">
        <v>0</v>
      </c>
      <c r="O32" s="58">
        <v>0</v>
      </c>
      <c r="Q32" s="59">
        <v>11</v>
      </c>
      <c r="R32" s="61">
        <v>0</v>
      </c>
      <c r="S32" s="62">
        <v>0</v>
      </c>
      <c r="T32" s="62">
        <v>0</v>
      </c>
    </row>
    <row r="33" spans="1:22" x14ac:dyDescent="0.25">
      <c r="A33" s="12" t="s">
        <v>28</v>
      </c>
      <c r="B33" s="12">
        <f>SUM(I14,L14,O14,R14,N33)</f>
        <v>1885.75</v>
      </c>
      <c r="C33" s="12"/>
      <c r="D33" s="27">
        <f t="shared" si="10"/>
        <v>1885.75</v>
      </c>
      <c r="F33" s="12" t="s">
        <v>28</v>
      </c>
      <c r="G33" s="12">
        <f t="shared" si="11"/>
        <v>2538.25</v>
      </c>
      <c r="H33" s="58"/>
      <c r="I33" s="27">
        <f t="shared" si="8"/>
        <v>2538.25</v>
      </c>
      <c r="L33" s="12" t="s">
        <v>28</v>
      </c>
      <c r="M33" s="58">
        <f>SUM(H41)</f>
        <v>0</v>
      </c>
      <c r="N33" s="58">
        <v>0</v>
      </c>
      <c r="O33" s="58">
        <v>0</v>
      </c>
      <c r="Q33" s="59">
        <v>12</v>
      </c>
      <c r="R33" s="61">
        <v>0</v>
      </c>
      <c r="S33" s="62">
        <v>0</v>
      </c>
      <c r="T33" s="62">
        <v>0</v>
      </c>
    </row>
    <row r="34" spans="1:22" x14ac:dyDescent="0.25">
      <c r="A34" s="12" t="s">
        <v>29</v>
      </c>
      <c r="B34" s="12">
        <f t="shared" si="9"/>
        <v>1885.75</v>
      </c>
      <c r="C34" s="12"/>
      <c r="D34" s="27">
        <f t="shared" si="10"/>
        <v>1885.75</v>
      </c>
      <c r="F34" s="12" t="s">
        <v>29</v>
      </c>
      <c r="G34" s="12">
        <f t="shared" si="11"/>
        <v>2804.25</v>
      </c>
      <c r="H34" s="58"/>
      <c r="I34" s="27">
        <f t="shared" si="8"/>
        <v>2804.25</v>
      </c>
      <c r="L34" s="12" t="s">
        <v>29</v>
      </c>
      <c r="M34" s="58">
        <f>SUM(H41)</f>
        <v>0</v>
      </c>
      <c r="N34" s="58">
        <v>0</v>
      </c>
      <c r="O34" s="58">
        <v>0</v>
      </c>
    </row>
    <row r="35" spans="1:22" x14ac:dyDescent="0.25">
      <c r="A35" s="9" t="s">
        <v>30</v>
      </c>
      <c r="B35" s="7">
        <f>SUM(B23:B34)</f>
        <v>25231.25</v>
      </c>
      <c r="C35" s="3"/>
      <c r="D35" s="7">
        <f>SUM(D23:D34)</f>
        <v>25231.25</v>
      </c>
      <c r="F35" s="9" t="s">
        <v>30</v>
      </c>
      <c r="G35" s="7">
        <f>SUM(G23:G34)</f>
        <v>35351.25</v>
      </c>
      <c r="I35" s="7">
        <f>SUM(I23:I34)</f>
        <v>35351.25</v>
      </c>
    </row>
    <row r="36" spans="1:22" x14ac:dyDescent="0.25">
      <c r="C36" s="3"/>
      <c r="D36" s="3"/>
    </row>
    <row r="38" spans="1:22" x14ac:dyDescent="0.25">
      <c r="U38" s="3" t="s">
        <v>60</v>
      </c>
      <c r="V38" s="3"/>
    </row>
    <row r="39" spans="1:22" x14ac:dyDescent="0.25">
      <c r="B39" s="64" t="s">
        <v>41</v>
      </c>
      <c r="C39" s="3"/>
      <c r="U39" s="78">
        <v>10000</v>
      </c>
      <c r="V39" s="80">
        <v>1473</v>
      </c>
    </row>
    <row r="40" spans="1:22" x14ac:dyDescent="0.25">
      <c r="A40" s="10" t="s">
        <v>5</v>
      </c>
      <c r="B40" s="10"/>
      <c r="C40" s="10" t="s">
        <v>32</v>
      </c>
      <c r="D40" s="10" t="s">
        <v>33</v>
      </c>
      <c r="E40" s="68" t="s">
        <v>15</v>
      </c>
      <c r="L40" s="65"/>
      <c r="M40" s="65" t="s">
        <v>47</v>
      </c>
      <c r="U40" s="79">
        <f>U39-V39</f>
        <v>8527</v>
      </c>
      <c r="V40" s="80">
        <v>1473</v>
      </c>
    </row>
    <row r="41" spans="1:22" x14ac:dyDescent="0.25">
      <c r="A41" s="12" t="s">
        <v>14</v>
      </c>
      <c r="B41" s="12">
        <f>SUM(J4,E41,M4,F41,G41)</f>
        <v>1604.75</v>
      </c>
      <c r="C41" s="12"/>
      <c r="D41" s="69">
        <f>SUM(B41,C41)</f>
        <v>1604.75</v>
      </c>
      <c r="E41" s="73">
        <v>299</v>
      </c>
      <c r="F41" s="75"/>
      <c r="L41" s="65">
        <v>1</v>
      </c>
      <c r="M41" s="65">
        <f>SUM(B23,G23,B41)</f>
        <v>6132.25</v>
      </c>
      <c r="U41" s="79">
        <v>7054</v>
      </c>
      <c r="V41" s="80">
        <v>1473</v>
      </c>
    </row>
    <row r="42" spans="1:22" x14ac:dyDescent="0.25">
      <c r="A42" s="12" t="s">
        <v>17</v>
      </c>
      <c r="B42" s="12">
        <f>SUM(J5,E42,M5)</f>
        <v>1770.25</v>
      </c>
      <c r="C42" s="12"/>
      <c r="D42" s="69">
        <f t="shared" ref="D42:D52" si="13">SUM(B42,C42)</f>
        <v>1770.25</v>
      </c>
      <c r="E42" s="59">
        <v>299</v>
      </c>
      <c r="F42" s="74"/>
      <c r="L42" s="65">
        <v>2</v>
      </c>
      <c r="M42" s="65">
        <f t="shared" ref="M42:M52" si="14">SUM(B24,G24,B42)</f>
        <v>6938.75</v>
      </c>
      <c r="P42" s="76"/>
      <c r="T42" s="66"/>
      <c r="U42" s="79">
        <v>5581</v>
      </c>
      <c r="V42" s="80">
        <v>1473</v>
      </c>
    </row>
    <row r="43" spans="1:22" x14ac:dyDescent="0.25">
      <c r="A43" s="12" t="s">
        <v>19</v>
      </c>
      <c r="B43" s="12">
        <f>SUM(J6,E43,M6,G43)</f>
        <v>1770.25</v>
      </c>
      <c r="C43" s="12"/>
      <c r="D43" s="69">
        <f t="shared" si="13"/>
        <v>1770.25</v>
      </c>
      <c r="E43" s="59">
        <v>299</v>
      </c>
      <c r="F43" s="74"/>
      <c r="L43" s="65">
        <v>3</v>
      </c>
      <c r="M43" s="65">
        <f t="shared" si="14"/>
        <v>6970.75</v>
      </c>
      <c r="P43" s="72"/>
      <c r="U43" s="79">
        <v>4108</v>
      </c>
      <c r="V43" s="80"/>
    </row>
    <row r="44" spans="1:22" x14ac:dyDescent="0.25">
      <c r="A44" s="12" t="s">
        <v>20</v>
      </c>
      <c r="B44" s="12">
        <f t="shared" ref="B44:B52" si="15">SUM(J7,E44,M7)</f>
        <v>1621.5</v>
      </c>
      <c r="C44" s="12"/>
      <c r="D44" s="69">
        <f t="shared" si="13"/>
        <v>1621.5</v>
      </c>
      <c r="E44" s="59">
        <v>299</v>
      </c>
      <c r="L44" s="65">
        <v>4</v>
      </c>
      <c r="M44" s="65">
        <f t="shared" si="14"/>
        <v>6671.5</v>
      </c>
      <c r="P44" s="72"/>
      <c r="U44" s="79"/>
      <c r="V44" s="80"/>
    </row>
    <row r="45" spans="1:22" x14ac:dyDescent="0.25">
      <c r="A45" s="12" t="s">
        <v>21</v>
      </c>
      <c r="B45" s="12">
        <f>SUM(J8,E45,M8)</f>
        <v>1521.5</v>
      </c>
      <c r="C45" s="12"/>
      <c r="D45" s="69">
        <f t="shared" si="13"/>
        <v>1521.5</v>
      </c>
      <c r="E45" s="59">
        <v>299</v>
      </c>
      <c r="L45" s="65">
        <v>5</v>
      </c>
      <c r="M45" s="65">
        <f t="shared" si="14"/>
        <v>6281.5</v>
      </c>
      <c r="P45" s="71"/>
      <c r="U45" s="79"/>
      <c r="V45" s="80"/>
    </row>
    <row r="46" spans="1:22" x14ac:dyDescent="0.25">
      <c r="A46" s="12" t="s">
        <v>22</v>
      </c>
      <c r="B46" s="12">
        <f t="shared" si="15"/>
        <v>1422.5</v>
      </c>
      <c r="C46" s="12"/>
      <c r="D46" s="69">
        <f t="shared" si="13"/>
        <v>1422.5</v>
      </c>
      <c r="E46" s="59"/>
      <c r="L46" s="65">
        <v>6</v>
      </c>
      <c r="M46" s="65">
        <f t="shared" si="14"/>
        <v>6609.5</v>
      </c>
      <c r="P46" s="71"/>
    </row>
    <row r="47" spans="1:22" x14ac:dyDescent="0.25">
      <c r="A47" s="12" t="s">
        <v>23</v>
      </c>
      <c r="B47" s="12">
        <f t="shared" si="15"/>
        <v>1472.5</v>
      </c>
      <c r="C47" s="12"/>
      <c r="D47" s="69">
        <f t="shared" si="13"/>
        <v>1472.5</v>
      </c>
      <c r="E47" s="59"/>
      <c r="L47" s="65">
        <v>7</v>
      </c>
      <c r="M47" s="65">
        <f t="shared" si="14"/>
        <v>6668.5</v>
      </c>
    </row>
    <row r="48" spans="1:22" x14ac:dyDescent="0.25">
      <c r="A48" s="12" t="s">
        <v>24</v>
      </c>
      <c r="B48" s="12">
        <f t="shared" si="15"/>
        <v>1472.5</v>
      </c>
      <c r="C48" s="12"/>
      <c r="D48" s="69">
        <f t="shared" si="13"/>
        <v>1472.5</v>
      </c>
      <c r="E48" s="59"/>
      <c r="L48" s="65">
        <v>8</v>
      </c>
      <c r="M48" s="65">
        <f t="shared" si="14"/>
        <v>6763.5</v>
      </c>
    </row>
    <row r="49" spans="1:13" x14ac:dyDescent="0.25">
      <c r="A49" s="12" t="s">
        <v>26</v>
      </c>
      <c r="B49" s="12">
        <f>SUM(J12,E49,M12)</f>
        <v>1472.5</v>
      </c>
      <c r="C49" s="12"/>
      <c r="D49" s="69">
        <f t="shared" si="13"/>
        <v>1472.5</v>
      </c>
      <c r="E49" s="59"/>
      <c r="L49" s="65">
        <v>9</v>
      </c>
      <c r="M49" s="65">
        <f>SUM(B31,G31,B49)</f>
        <v>7169.5</v>
      </c>
    </row>
    <row r="50" spans="1:13" x14ac:dyDescent="0.25">
      <c r="A50" s="12" t="s">
        <v>27</v>
      </c>
      <c r="B50" s="12">
        <f>SUM(J13,E50,M13)</f>
        <v>1472.5</v>
      </c>
      <c r="C50" s="12"/>
      <c r="D50" s="69">
        <f t="shared" si="13"/>
        <v>1472.5</v>
      </c>
      <c r="E50" s="59"/>
      <c r="L50" s="65">
        <v>10</v>
      </c>
      <c r="M50" s="65">
        <f t="shared" si="14"/>
        <v>6863.5</v>
      </c>
    </row>
    <row r="51" spans="1:13" x14ac:dyDescent="0.25">
      <c r="A51" s="12" t="s">
        <v>28</v>
      </c>
      <c r="B51" s="12">
        <f t="shared" si="15"/>
        <v>1472.5</v>
      </c>
      <c r="C51" s="12"/>
      <c r="D51" s="69">
        <f>SUM(B51,C51)</f>
        <v>1472.5</v>
      </c>
      <c r="E51" s="59"/>
      <c r="L51" s="65">
        <v>11</v>
      </c>
      <c r="M51" s="65">
        <f>SUM(B33,G33,B51)</f>
        <v>5896.5</v>
      </c>
    </row>
    <row r="52" spans="1:13" x14ac:dyDescent="0.25">
      <c r="A52" s="12" t="s">
        <v>29</v>
      </c>
      <c r="B52" s="12">
        <f t="shared" si="15"/>
        <v>1472.5</v>
      </c>
      <c r="C52" s="12"/>
      <c r="D52" s="69">
        <f t="shared" si="13"/>
        <v>1472.5</v>
      </c>
      <c r="E52" s="59"/>
      <c r="L52" s="67">
        <v>12</v>
      </c>
      <c r="M52" s="65">
        <f t="shared" si="14"/>
        <v>6162.5</v>
      </c>
    </row>
    <row r="53" spans="1:13" x14ac:dyDescent="0.25">
      <c r="A53" s="9" t="s">
        <v>30</v>
      </c>
      <c r="B53" s="7">
        <f>SUM(B41:B52)</f>
        <v>18545.75</v>
      </c>
      <c r="C53" s="3"/>
      <c r="D53" s="7">
        <f>SUM(D41:D52)</f>
        <v>18545.75</v>
      </c>
      <c r="E53" s="70">
        <f>SUM(E41:E52)</f>
        <v>1495</v>
      </c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workbookViewId="0">
      <selection activeCell="E1" sqref="E1"/>
    </sheetView>
  </sheetViews>
  <sheetFormatPr baseColWidth="10" defaultRowHeight="15" x14ac:dyDescent="0.25"/>
  <cols>
    <col min="1" max="6" width="11.42578125" style="53"/>
    <col min="7" max="7" width="17.28515625" style="53" customWidth="1"/>
    <col min="8" max="20" width="11.42578125" style="53"/>
    <col min="21" max="21" width="23.140625" style="53" customWidth="1"/>
    <col min="22" max="16384" width="11.42578125" style="53"/>
  </cols>
  <sheetData>
    <row r="1" spans="1:21" x14ac:dyDescent="0.25">
      <c r="B1" s="3"/>
      <c r="C1" s="3"/>
      <c r="D1" s="77" t="s">
        <v>6</v>
      </c>
      <c r="E1" s="59">
        <v>6600</v>
      </c>
    </row>
    <row r="2" spans="1:21" x14ac:dyDescent="0.25">
      <c r="B2" s="3"/>
      <c r="C2" s="3"/>
      <c r="D2" s="3"/>
      <c r="I2" s="5" t="s">
        <v>43</v>
      </c>
      <c r="J2" s="54"/>
      <c r="K2" s="54"/>
      <c r="L2" s="5" t="s">
        <v>44</v>
      </c>
      <c r="M2" s="54"/>
      <c r="N2" s="54"/>
      <c r="O2" s="5" t="s">
        <v>45</v>
      </c>
      <c r="P2" s="54"/>
      <c r="Q2" s="54"/>
      <c r="R2" s="5" t="s">
        <v>4</v>
      </c>
      <c r="T2" s="5" t="s">
        <v>42</v>
      </c>
    </row>
    <row r="3" spans="1:21" x14ac:dyDescent="0.25">
      <c r="A3" s="55" t="s">
        <v>5</v>
      </c>
      <c r="B3" s="55" t="s">
        <v>6</v>
      </c>
      <c r="C3" s="55" t="s">
        <v>7</v>
      </c>
      <c r="D3" s="55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56" t="s">
        <v>41</v>
      </c>
      <c r="K3" s="11" t="s">
        <v>13</v>
      </c>
      <c r="L3" s="10" t="s">
        <v>12</v>
      </c>
      <c r="M3" s="56" t="s">
        <v>41</v>
      </c>
      <c r="N3" s="11" t="s">
        <v>13</v>
      </c>
      <c r="O3" s="10" t="s">
        <v>12</v>
      </c>
      <c r="P3" s="56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1" x14ac:dyDescent="0.25">
      <c r="A4" s="12" t="s">
        <v>14</v>
      </c>
      <c r="B4" s="84">
        <v>7237</v>
      </c>
      <c r="C4" s="84">
        <v>1290</v>
      </c>
      <c r="D4" s="84">
        <v>803</v>
      </c>
      <c r="E4" s="82">
        <f>CUENTAS!B16</f>
        <v>882</v>
      </c>
      <c r="F4" s="83">
        <f>CUENTAS!B17</f>
        <v>630</v>
      </c>
      <c r="G4" s="82">
        <f t="shared" ref="G4:G15" si="0">SUM(B4:F4)</f>
        <v>10842</v>
      </c>
      <c r="I4" s="83">
        <v>1150</v>
      </c>
      <c r="J4" s="83">
        <v>1150</v>
      </c>
      <c r="K4" s="83">
        <v>1786</v>
      </c>
      <c r="L4" s="83">
        <f>C4/4</f>
        <v>322.5</v>
      </c>
      <c r="M4" s="83">
        <f>C4/4</f>
        <v>322.5</v>
      </c>
      <c r="N4" s="83">
        <f>C4/4</f>
        <v>322.5</v>
      </c>
      <c r="O4" s="83">
        <f>D4/4</f>
        <v>200.75</v>
      </c>
      <c r="P4" s="83">
        <f>D4/4</f>
        <v>200.75</v>
      </c>
      <c r="Q4" s="83">
        <f>D4/4</f>
        <v>200.75</v>
      </c>
      <c r="R4" s="83">
        <f>E4/4</f>
        <v>220.5</v>
      </c>
      <c r="S4" s="83">
        <f>E4/4</f>
        <v>220.5</v>
      </c>
      <c r="T4" s="83">
        <f>F4/4</f>
        <v>157.5</v>
      </c>
      <c r="U4" s="53" t="s">
        <v>61</v>
      </c>
    </row>
    <row r="5" spans="1:21" x14ac:dyDescent="0.25">
      <c r="A5" s="12" t="s">
        <v>17</v>
      </c>
      <c r="B5" s="84">
        <v>6593</v>
      </c>
      <c r="C5" s="84">
        <v>1317</v>
      </c>
      <c r="D5" s="84">
        <v>1762</v>
      </c>
      <c r="E5" s="82">
        <f>CUENTAS!B16</f>
        <v>882</v>
      </c>
      <c r="F5" s="83">
        <f>CUENTAS!B17</f>
        <v>630</v>
      </c>
      <c r="G5" s="82">
        <f t="shared" si="0"/>
        <v>11184</v>
      </c>
      <c r="I5" s="83">
        <v>1000</v>
      </c>
      <c r="J5" s="83">
        <v>1000</v>
      </c>
      <c r="K5" s="83">
        <v>1631</v>
      </c>
      <c r="L5" s="83">
        <f t="shared" ref="L5:L15" si="1">C5/4</f>
        <v>329.25</v>
      </c>
      <c r="M5" s="83">
        <f t="shared" ref="M5:M15" si="2">C5/4</f>
        <v>329.25</v>
      </c>
      <c r="N5" s="83">
        <f t="shared" ref="N5:O15" si="3">C5/4</f>
        <v>329.25</v>
      </c>
      <c r="O5" s="83">
        <f t="shared" si="3"/>
        <v>440.5</v>
      </c>
      <c r="P5" s="83">
        <f t="shared" ref="P5:P15" si="4">D5/4</f>
        <v>440.5</v>
      </c>
      <c r="Q5" s="83">
        <f t="shared" ref="Q5:R15" si="5">D5/4</f>
        <v>440.5</v>
      </c>
      <c r="R5" s="83">
        <f t="shared" si="5"/>
        <v>220.5</v>
      </c>
      <c r="S5" s="83">
        <f t="shared" ref="S5:T15" si="6">E5/4</f>
        <v>220.5</v>
      </c>
      <c r="T5" s="83">
        <f t="shared" si="6"/>
        <v>157.5</v>
      </c>
    </row>
    <row r="6" spans="1:21" x14ac:dyDescent="0.25">
      <c r="A6" s="12" t="s">
        <v>19</v>
      </c>
      <c r="B6" s="84">
        <v>9723</v>
      </c>
      <c r="C6" s="84">
        <v>1317</v>
      </c>
      <c r="D6" s="84">
        <v>1820</v>
      </c>
      <c r="E6" s="82">
        <f>CUENTAS!B16</f>
        <v>882</v>
      </c>
      <c r="F6" s="83">
        <f>CUENTAS!B17</f>
        <v>630</v>
      </c>
      <c r="G6" s="82">
        <f t="shared" si="0"/>
        <v>14372</v>
      </c>
      <c r="I6" s="83">
        <v>1350</v>
      </c>
      <c r="J6" s="83">
        <v>1350</v>
      </c>
      <c r="K6" s="83">
        <v>3167</v>
      </c>
      <c r="L6" s="83">
        <f t="shared" si="1"/>
        <v>329.25</v>
      </c>
      <c r="M6" s="83">
        <f t="shared" si="2"/>
        <v>329.25</v>
      </c>
      <c r="N6" s="83">
        <f t="shared" si="3"/>
        <v>329.25</v>
      </c>
      <c r="O6" s="83">
        <f t="shared" si="3"/>
        <v>455</v>
      </c>
      <c r="P6" s="83">
        <f t="shared" si="4"/>
        <v>455</v>
      </c>
      <c r="Q6" s="83">
        <f t="shared" si="5"/>
        <v>455</v>
      </c>
      <c r="R6" s="83">
        <f t="shared" si="5"/>
        <v>220.5</v>
      </c>
      <c r="S6" s="83">
        <f t="shared" si="6"/>
        <v>220.5</v>
      </c>
      <c r="T6" s="83">
        <f t="shared" si="6"/>
        <v>157.5</v>
      </c>
    </row>
    <row r="7" spans="1:21" x14ac:dyDescent="0.25">
      <c r="A7" s="12" t="s">
        <v>20</v>
      </c>
      <c r="B7" s="84">
        <v>8718</v>
      </c>
      <c r="C7" s="84">
        <v>1519</v>
      </c>
      <c r="D7" s="84">
        <v>1820</v>
      </c>
      <c r="E7" s="82">
        <f>CUENTAS!B16</f>
        <v>882</v>
      </c>
      <c r="F7" s="83">
        <f>CUENTAS!B17</f>
        <v>630</v>
      </c>
      <c r="G7" s="82">
        <f t="shared" si="0"/>
        <v>13569</v>
      </c>
      <c r="I7" s="83">
        <v>1300</v>
      </c>
      <c r="J7" s="83">
        <v>1300</v>
      </c>
      <c r="K7" s="83">
        <v>2704</v>
      </c>
      <c r="L7" s="83">
        <f t="shared" si="1"/>
        <v>379.75</v>
      </c>
      <c r="M7" s="83">
        <f t="shared" si="2"/>
        <v>379.75</v>
      </c>
      <c r="N7" s="83">
        <f t="shared" si="3"/>
        <v>379.75</v>
      </c>
      <c r="O7" s="83">
        <f t="shared" si="3"/>
        <v>455</v>
      </c>
      <c r="P7" s="83">
        <f t="shared" si="4"/>
        <v>455</v>
      </c>
      <c r="Q7" s="83">
        <f t="shared" si="5"/>
        <v>455</v>
      </c>
      <c r="R7" s="83">
        <f t="shared" si="5"/>
        <v>220.5</v>
      </c>
      <c r="S7" s="83">
        <f t="shared" si="6"/>
        <v>220.5</v>
      </c>
      <c r="T7" s="83">
        <f t="shared" si="6"/>
        <v>157.5</v>
      </c>
    </row>
    <row r="8" spans="1:21" x14ac:dyDescent="0.25">
      <c r="A8" s="12" t="s">
        <v>21</v>
      </c>
      <c r="B8" s="84">
        <v>7979</v>
      </c>
      <c r="C8" s="84">
        <v>1519</v>
      </c>
      <c r="D8" s="84">
        <v>1820</v>
      </c>
      <c r="E8" s="82">
        <f>CUENTAS!B16</f>
        <v>882</v>
      </c>
      <c r="F8" s="83">
        <f>CUENTAS!B17</f>
        <v>630</v>
      </c>
      <c r="G8" s="82">
        <f t="shared" si="0"/>
        <v>12830</v>
      </c>
      <c r="I8" s="83">
        <v>1200</v>
      </c>
      <c r="J8" s="83">
        <v>1200</v>
      </c>
      <c r="K8" s="83">
        <v>2279</v>
      </c>
      <c r="L8" s="83">
        <f t="shared" si="1"/>
        <v>379.75</v>
      </c>
      <c r="M8" s="83">
        <f t="shared" si="2"/>
        <v>379.75</v>
      </c>
      <c r="N8" s="83">
        <f t="shared" si="3"/>
        <v>379.75</v>
      </c>
      <c r="O8" s="83">
        <f t="shared" si="3"/>
        <v>455</v>
      </c>
      <c r="P8" s="83">
        <f t="shared" si="4"/>
        <v>455</v>
      </c>
      <c r="Q8" s="83">
        <f t="shared" si="5"/>
        <v>455</v>
      </c>
      <c r="R8" s="83">
        <f t="shared" si="5"/>
        <v>220.5</v>
      </c>
      <c r="S8" s="83">
        <f t="shared" si="6"/>
        <v>220.5</v>
      </c>
      <c r="T8" s="83">
        <f t="shared" si="6"/>
        <v>157.5</v>
      </c>
    </row>
    <row r="9" spans="1:21" x14ac:dyDescent="0.25">
      <c r="A9" s="12" t="s">
        <v>22</v>
      </c>
      <c r="B9" s="84">
        <v>7527</v>
      </c>
      <c r="C9" s="84">
        <v>1891</v>
      </c>
      <c r="D9" s="84">
        <v>1820</v>
      </c>
      <c r="E9" s="82">
        <f>CUENTAS!B16</f>
        <v>882</v>
      </c>
      <c r="F9" s="83">
        <f>CUENTAS!B17</f>
        <v>630</v>
      </c>
      <c r="G9" s="82">
        <f t="shared" si="0"/>
        <v>12750</v>
      </c>
      <c r="I9" s="83">
        <v>1200</v>
      </c>
      <c r="J9" s="83">
        <v>1200</v>
      </c>
      <c r="K9" s="83">
        <v>2049</v>
      </c>
      <c r="L9" s="83">
        <f t="shared" si="1"/>
        <v>472.75</v>
      </c>
      <c r="M9" s="83">
        <f t="shared" si="2"/>
        <v>472.75</v>
      </c>
      <c r="N9" s="83">
        <f t="shared" si="3"/>
        <v>472.75</v>
      </c>
      <c r="O9" s="83">
        <f t="shared" si="3"/>
        <v>455</v>
      </c>
      <c r="P9" s="83">
        <f t="shared" si="4"/>
        <v>455</v>
      </c>
      <c r="Q9" s="83">
        <f t="shared" si="5"/>
        <v>455</v>
      </c>
      <c r="R9" s="83">
        <f t="shared" si="5"/>
        <v>220.5</v>
      </c>
      <c r="S9" s="83">
        <f t="shared" si="6"/>
        <v>220.5</v>
      </c>
      <c r="T9" s="83">
        <f t="shared" si="6"/>
        <v>157.5</v>
      </c>
    </row>
    <row r="10" spans="1:21" x14ac:dyDescent="0.25">
      <c r="A10" s="12" t="s">
        <v>23</v>
      </c>
      <c r="B10" s="84">
        <v>8335</v>
      </c>
      <c r="C10" s="84">
        <v>1891</v>
      </c>
      <c r="D10" s="84">
        <v>1820</v>
      </c>
      <c r="E10" s="82">
        <f>CUENTAS!B16</f>
        <v>882</v>
      </c>
      <c r="F10" s="83">
        <f>CUENTAS!B17</f>
        <v>630</v>
      </c>
      <c r="G10" s="82">
        <f t="shared" si="0"/>
        <v>13558</v>
      </c>
      <c r="I10" s="83">
        <v>1200</v>
      </c>
      <c r="J10" s="83">
        <v>1200</v>
      </c>
      <c r="K10" s="83">
        <v>2635</v>
      </c>
      <c r="L10" s="83">
        <f t="shared" si="1"/>
        <v>472.75</v>
      </c>
      <c r="M10" s="83">
        <f t="shared" si="2"/>
        <v>472.75</v>
      </c>
      <c r="N10" s="83">
        <f t="shared" si="3"/>
        <v>472.75</v>
      </c>
      <c r="O10" s="83">
        <f t="shared" si="3"/>
        <v>455</v>
      </c>
      <c r="P10" s="83">
        <f t="shared" si="4"/>
        <v>455</v>
      </c>
      <c r="Q10" s="83">
        <f t="shared" si="5"/>
        <v>455</v>
      </c>
      <c r="R10" s="83">
        <f t="shared" si="5"/>
        <v>220.5</v>
      </c>
      <c r="S10" s="83">
        <f t="shared" si="6"/>
        <v>220.5</v>
      </c>
      <c r="T10" s="83">
        <f t="shared" si="6"/>
        <v>157.5</v>
      </c>
    </row>
    <row r="11" spans="1:21" x14ac:dyDescent="0.25">
      <c r="A11" s="12" t="s">
        <v>24</v>
      </c>
      <c r="B11" s="84">
        <v>9002</v>
      </c>
      <c r="C11" s="84">
        <v>1891</v>
      </c>
      <c r="D11" s="84">
        <v>1820</v>
      </c>
      <c r="E11" s="82">
        <f>CUENTAS!B16</f>
        <v>882</v>
      </c>
      <c r="F11" s="83">
        <f>CUENTAS!B17</f>
        <v>630</v>
      </c>
      <c r="G11" s="82">
        <f t="shared" si="0"/>
        <v>14225</v>
      </c>
      <c r="I11" s="83">
        <v>1200</v>
      </c>
      <c r="J11" s="83">
        <v>1200</v>
      </c>
      <c r="K11" s="83">
        <v>3002</v>
      </c>
      <c r="L11" s="83">
        <f t="shared" si="1"/>
        <v>472.75</v>
      </c>
      <c r="M11" s="83">
        <f t="shared" si="2"/>
        <v>472.75</v>
      </c>
      <c r="N11" s="83">
        <f t="shared" si="3"/>
        <v>472.75</v>
      </c>
      <c r="O11" s="83">
        <f t="shared" si="3"/>
        <v>455</v>
      </c>
      <c r="P11" s="83">
        <f t="shared" si="4"/>
        <v>455</v>
      </c>
      <c r="Q11" s="83">
        <f t="shared" si="5"/>
        <v>455</v>
      </c>
      <c r="R11" s="83">
        <f t="shared" si="5"/>
        <v>220.5</v>
      </c>
      <c r="S11" s="83">
        <f t="shared" si="6"/>
        <v>220.5</v>
      </c>
      <c r="T11" s="83">
        <f t="shared" si="6"/>
        <v>157.5</v>
      </c>
    </row>
    <row r="12" spans="1:21" x14ac:dyDescent="0.25">
      <c r="A12" s="12" t="s">
        <v>26</v>
      </c>
      <c r="B12" s="84">
        <v>8906</v>
      </c>
      <c r="C12" s="84">
        <v>1891</v>
      </c>
      <c r="D12" s="84">
        <v>1820</v>
      </c>
      <c r="E12" s="82">
        <f>CUENTAS!B16</f>
        <v>882</v>
      </c>
      <c r="F12" s="83">
        <f>CUENTAS!B17</f>
        <v>630</v>
      </c>
      <c r="G12" s="82">
        <f t="shared" si="0"/>
        <v>14129</v>
      </c>
      <c r="I12" s="83">
        <v>1200</v>
      </c>
      <c r="J12" s="83">
        <v>1200</v>
      </c>
      <c r="K12" s="83">
        <v>2900</v>
      </c>
      <c r="L12" s="83">
        <f t="shared" si="1"/>
        <v>472.75</v>
      </c>
      <c r="M12" s="83">
        <f t="shared" si="2"/>
        <v>472.75</v>
      </c>
      <c r="N12" s="83">
        <f t="shared" si="3"/>
        <v>472.75</v>
      </c>
      <c r="O12" s="83">
        <f t="shared" si="3"/>
        <v>455</v>
      </c>
      <c r="P12" s="83">
        <f t="shared" si="4"/>
        <v>455</v>
      </c>
      <c r="Q12" s="83">
        <f t="shared" si="5"/>
        <v>455</v>
      </c>
      <c r="R12" s="83">
        <f t="shared" si="5"/>
        <v>220.5</v>
      </c>
      <c r="S12" s="83">
        <f t="shared" si="6"/>
        <v>220.5</v>
      </c>
      <c r="T12" s="83">
        <f t="shared" si="6"/>
        <v>157.5</v>
      </c>
    </row>
    <row r="13" spans="1:21" x14ac:dyDescent="0.25">
      <c r="A13" s="12" t="s">
        <v>27</v>
      </c>
      <c r="B13" s="84">
        <v>8205</v>
      </c>
      <c r="C13" s="84">
        <v>1381</v>
      </c>
      <c r="D13" s="84">
        <v>1825</v>
      </c>
      <c r="E13" s="82">
        <f>CUENTAS!B16</f>
        <v>882</v>
      </c>
      <c r="F13" s="83">
        <f>CUENTAS!B17</f>
        <v>630</v>
      </c>
      <c r="G13" s="82">
        <f t="shared" si="0"/>
        <v>12923</v>
      </c>
      <c r="I13" s="83">
        <v>1200</v>
      </c>
      <c r="J13" s="83">
        <v>1200</v>
      </c>
      <c r="K13" s="83">
        <v>2363</v>
      </c>
      <c r="L13" s="83">
        <f t="shared" si="1"/>
        <v>345.25</v>
      </c>
      <c r="M13" s="83">
        <f t="shared" si="2"/>
        <v>345.25</v>
      </c>
      <c r="N13" s="83">
        <f t="shared" si="3"/>
        <v>345.25</v>
      </c>
      <c r="O13" s="83">
        <f t="shared" si="3"/>
        <v>456.25</v>
      </c>
      <c r="P13" s="83">
        <f t="shared" si="4"/>
        <v>456.25</v>
      </c>
      <c r="Q13" s="83">
        <f t="shared" si="5"/>
        <v>456.25</v>
      </c>
      <c r="R13" s="83">
        <f t="shared" si="5"/>
        <v>220.5</v>
      </c>
      <c r="S13" s="83">
        <f t="shared" si="6"/>
        <v>220.5</v>
      </c>
      <c r="T13" s="83">
        <f t="shared" si="6"/>
        <v>157.5</v>
      </c>
    </row>
    <row r="14" spans="1:21" x14ac:dyDescent="0.25">
      <c r="A14" s="12" t="s">
        <v>28</v>
      </c>
      <c r="B14" s="84">
        <v>7453</v>
      </c>
      <c r="C14" s="84">
        <v>1891</v>
      </c>
      <c r="D14" s="84">
        <v>1820</v>
      </c>
      <c r="E14" s="82">
        <f>CUENTAS!B16</f>
        <v>882</v>
      </c>
      <c r="F14" s="83">
        <f>CUENTAS!B17</f>
        <v>630</v>
      </c>
      <c r="G14" s="82">
        <f t="shared" si="0"/>
        <v>12676</v>
      </c>
      <c r="I14" s="83">
        <v>1200</v>
      </c>
      <c r="J14" s="83">
        <v>1200</v>
      </c>
      <c r="K14" s="83">
        <v>2003</v>
      </c>
      <c r="L14" s="83">
        <f t="shared" si="1"/>
        <v>472.75</v>
      </c>
      <c r="M14" s="83">
        <f t="shared" si="2"/>
        <v>472.75</v>
      </c>
      <c r="N14" s="83">
        <f t="shared" si="3"/>
        <v>472.75</v>
      </c>
      <c r="O14" s="83">
        <f t="shared" si="3"/>
        <v>455</v>
      </c>
      <c r="P14" s="83">
        <f t="shared" si="4"/>
        <v>455</v>
      </c>
      <c r="Q14" s="83">
        <f t="shared" si="5"/>
        <v>455</v>
      </c>
      <c r="R14" s="83">
        <f t="shared" si="5"/>
        <v>220.5</v>
      </c>
      <c r="S14" s="83">
        <f t="shared" si="6"/>
        <v>220.5</v>
      </c>
      <c r="T14" s="83">
        <f t="shared" si="6"/>
        <v>157.5</v>
      </c>
    </row>
    <row r="15" spans="1:21" x14ac:dyDescent="0.25">
      <c r="A15" s="12" t="s">
        <v>29</v>
      </c>
      <c r="B15" s="84">
        <v>6794</v>
      </c>
      <c r="C15" s="84">
        <v>1891</v>
      </c>
      <c r="D15" s="84">
        <v>1820</v>
      </c>
      <c r="E15" s="82">
        <f>CUENTAS!B16</f>
        <v>882</v>
      </c>
      <c r="F15" s="83">
        <f>CUENTAS!B17</f>
        <v>630</v>
      </c>
      <c r="G15" s="82">
        <f t="shared" si="0"/>
        <v>12017</v>
      </c>
      <c r="I15" s="83">
        <v>1000</v>
      </c>
      <c r="J15" s="83">
        <v>1000</v>
      </c>
      <c r="K15" s="83">
        <v>1682</v>
      </c>
      <c r="L15" s="83">
        <f t="shared" si="1"/>
        <v>472.75</v>
      </c>
      <c r="M15" s="83">
        <f t="shared" si="2"/>
        <v>472.75</v>
      </c>
      <c r="N15" s="83">
        <f t="shared" si="3"/>
        <v>472.75</v>
      </c>
      <c r="O15" s="83">
        <f t="shared" si="3"/>
        <v>455</v>
      </c>
      <c r="P15" s="83">
        <f t="shared" si="4"/>
        <v>455</v>
      </c>
      <c r="Q15" s="83">
        <f t="shared" si="5"/>
        <v>455</v>
      </c>
      <c r="R15" s="83">
        <f t="shared" si="5"/>
        <v>220.5</v>
      </c>
      <c r="S15" s="83">
        <f t="shared" si="6"/>
        <v>220.5</v>
      </c>
      <c r="T15" s="83">
        <f t="shared" si="6"/>
        <v>157.5</v>
      </c>
    </row>
    <row r="16" spans="1:21" x14ac:dyDescent="0.25">
      <c r="A16" s="9" t="s">
        <v>30</v>
      </c>
      <c r="B16" s="7">
        <f t="shared" ref="B16:F16" si="7">SUM(B4:B15)</f>
        <v>96472</v>
      </c>
      <c r="C16" s="7">
        <f t="shared" si="7"/>
        <v>19689</v>
      </c>
      <c r="D16" s="7">
        <f t="shared" si="7"/>
        <v>20770</v>
      </c>
      <c r="E16" s="7">
        <f t="shared" si="7"/>
        <v>10584</v>
      </c>
      <c r="F16" s="7">
        <f t="shared" si="7"/>
        <v>7560</v>
      </c>
      <c r="G16" s="22">
        <f>SUM(B16:F16)</f>
        <v>155075</v>
      </c>
    </row>
    <row r="17" spans="1:20" x14ac:dyDescent="0.25">
      <c r="B17" s="3"/>
      <c r="C17" s="3"/>
      <c r="D17" s="3"/>
    </row>
    <row r="18" spans="1:20" x14ac:dyDescent="0.25">
      <c r="B18" s="3"/>
      <c r="C18" s="3"/>
      <c r="D18" s="3"/>
    </row>
    <row r="19" spans="1:20" x14ac:dyDescent="0.25">
      <c r="B19" s="3"/>
      <c r="C19" s="3"/>
      <c r="D19" s="3"/>
    </row>
    <row r="20" spans="1:20" x14ac:dyDescent="0.25">
      <c r="B20" s="3"/>
      <c r="C20" s="3"/>
      <c r="D20" s="3"/>
    </row>
    <row r="21" spans="1:20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59"/>
      <c r="R21" s="60" t="s">
        <v>58</v>
      </c>
      <c r="S21" s="60" t="s">
        <v>48</v>
      </c>
      <c r="T21" s="60" t="s">
        <v>51</v>
      </c>
    </row>
    <row r="22" spans="1:20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59">
        <v>1</v>
      </c>
      <c r="R22" s="61">
        <v>0</v>
      </c>
      <c r="S22" s="62">
        <v>0</v>
      </c>
      <c r="T22" s="61">
        <v>0</v>
      </c>
    </row>
    <row r="23" spans="1:20" x14ac:dyDescent="0.25">
      <c r="A23" s="12" t="s">
        <v>14</v>
      </c>
      <c r="B23" s="84">
        <f>SUM(I4,L4,O4,R4,N23)</f>
        <v>1893.75</v>
      </c>
      <c r="C23" s="84"/>
      <c r="D23" s="85">
        <f>SUM(B23,C23)</f>
        <v>1893.75</v>
      </c>
      <c r="F23" s="12" t="s">
        <v>14</v>
      </c>
      <c r="G23" s="84">
        <f>SUM(K4,N4,Q4,S4,T4,O23,S22,R22,T22)</f>
        <v>2687.25</v>
      </c>
      <c r="H23" s="83"/>
      <c r="I23" s="85">
        <f t="shared" ref="I23:I34" si="8">SUM(G23,H23)</f>
        <v>2687.25</v>
      </c>
      <c r="L23" s="12" t="s">
        <v>14</v>
      </c>
      <c r="M23" s="58">
        <f>SUM(H41)</f>
        <v>0</v>
      </c>
      <c r="N23" s="58">
        <v>0</v>
      </c>
      <c r="O23" s="58">
        <v>0</v>
      </c>
      <c r="Q23" s="63">
        <v>2</v>
      </c>
      <c r="R23" s="61">
        <v>0</v>
      </c>
      <c r="S23" s="62">
        <v>0</v>
      </c>
      <c r="T23" s="62">
        <v>0</v>
      </c>
    </row>
    <row r="24" spans="1:20" x14ac:dyDescent="0.25">
      <c r="A24" s="12" t="s">
        <v>17</v>
      </c>
      <c r="B24" s="84">
        <f t="shared" ref="B24:B25" si="9">SUM(I5,L5,O5,R5,N24)</f>
        <v>1990.25</v>
      </c>
      <c r="C24" s="84"/>
      <c r="D24" s="85">
        <f t="shared" ref="D24:D34" si="10">SUM(B24,C24)</f>
        <v>1990.25</v>
      </c>
      <c r="F24" s="12" t="s">
        <v>17</v>
      </c>
      <c r="G24" s="84">
        <f>SUM(K5,N5,Q5,S5,T5,O24,S23,R23,T23)</f>
        <v>2778.75</v>
      </c>
      <c r="H24" s="83"/>
      <c r="I24" s="85">
        <f t="shared" si="8"/>
        <v>2778.75</v>
      </c>
      <c r="L24" s="12" t="s">
        <v>17</v>
      </c>
      <c r="M24" s="58">
        <f>SUM(H41)</f>
        <v>0</v>
      </c>
      <c r="N24" s="58">
        <v>0</v>
      </c>
      <c r="O24" s="58">
        <v>0</v>
      </c>
      <c r="Q24" s="59">
        <v>3</v>
      </c>
      <c r="R24" s="61">
        <v>0</v>
      </c>
      <c r="S24" s="62">
        <v>0</v>
      </c>
      <c r="T24" s="62">
        <v>0</v>
      </c>
    </row>
    <row r="25" spans="1:20" x14ac:dyDescent="0.25">
      <c r="A25" s="12" t="s">
        <v>19</v>
      </c>
      <c r="B25" s="84">
        <f t="shared" si="9"/>
        <v>2354.75</v>
      </c>
      <c r="C25" s="84"/>
      <c r="D25" s="85">
        <f t="shared" si="10"/>
        <v>2354.75</v>
      </c>
      <c r="F25" s="12" t="s">
        <v>19</v>
      </c>
      <c r="G25" s="84">
        <f t="shared" ref="G25:G34" si="11">SUM(K6,N6,Q6,S6,T6,O25,S24,R24,T24)</f>
        <v>4329.25</v>
      </c>
      <c r="H25" s="83"/>
      <c r="I25" s="85">
        <f t="shared" si="8"/>
        <v>4329.25</v>
      </c>
      <c r="L25" s="12" t="s">
        <v>19</v>
      </c>
      <c r="M25" s="58">
        <f>SUM(H41)</f>
        <v>0</v>
      </c>
      <c r="N25" s="58">
        <v>0</v>
      </c>
      <c r="O25" s="58">
        <v>0</v>
      </c>
      <c r="Q25" s="59">
        <v>4</v>
      </c>
      <c r="R25" s="61">
        <v>0</v>
      </c>
      <c r="S25" s="62">
        <v>0</v>
      </c>
      <c r="T25" s="62">
        <v>0</v>
      </c>
    </row>
    <row r="26" spans="1:20" x14ac:dyDescent="0.25">
      <c r="A26" s="12" t="s">
        <v>20</v>
      </c>
      <c r="B26" s="84">
        <f>SUM(I7,L7,O7,N26)</f>
        <v>2134.75</v>
      </c>
      <c r="C26" s="84"/>
      <c r="D26" s="85">
        <f t="shared" si="10"/>
        <v>2134.75</v>
      </c>
      <c r="F26" s="12" t="s">
        <v>20</v>
      </c>
      <c r="G26" s="84">
        <f t="shared" si="11"/>
        <v>3916.75</v>
      </c>
      <c r="H26" s="83"/>
      <c r="I26" s="85">
        <f t="shared" si="8"/>
        <v>3916.75</v>
      </c>
      <c r="L26" s="12" t="s">
        <v>20</v>
      </c>
      <c r="M26" s="58">
        <f>SUM(H41)</f>
        <v>0</v>
      </c>
      <c r="N26" s="58">
        <v>0</v>
      </c>
      <c r="O26" s="58">
        <v>0</v>
      </c>
      <c r="Q26" s="59">
        <v>5</v>
      </c>
      <c r="R26" s="61">
        <v>0</v>
      </c>
      <c r="S26" s="62">
        <v>0</v>
      </c>
      <c r="T26" s="62">
        <v>0</v>
      </c>
    </row>
    <row r="27" spans="1:20" x14ac:dyDescent="0.25">
      <c r="A27" s="12" t="s">
        <v>21</v>
      </c>
      <c r="B27" s="84">
        <f t="shared" ref="B27:B34" si="12">SUM(I8,L8,O8,N27)</f>
        <v>2034.75</v>
      </c>
      <c r="C27" s="84"/>
      <c r="D27" s="85">
        <f t="shared" si="10"/>
        <v>2034.75</v>
      </c>
      <c r="F27" s="12" t="s">
        <v>21</v>
      </c>
      <c r="G27" s="84">
        <f t="shared" si="11"/>
        <v>3491.75</v>
      </c>
      <c r="H27" s="83"/>
      <c r="I27" s="85">
        <f t="shared" si="8"/>
        <v>3491.75</v>
      </c>
      <c r="L27" s="12" t="s">
        <v>21</v>
      </c>
      <c r="M27" s="58">
        <f>SUM(H41)</f>
        <v>0</v>
      </c>
      <c r="N27" s="58">
        <v>0</v>
      </c>
      <c r="O27" s="58">
        <v>0</v>
      </c>
      <c r="Q27" s="59">
        <v>6</v>
      </c>
      <c r="R27" s="61">
        <v>0</v>
      </c>
      <c r="S27" s="62">
        <v>0</v>
      </c>
      <c r="T27" s="62">
        <v>0</v>
      </c>
    </row>
    <row r="28" spans="1:20" x14ac:dyDescent="0.25">
      <c r="A28" s="12" t="s">
        <v>22</v>
      </c>
      <c r="B28" s="84">
        <f t="shared" si="12"/>
        <v>2127.75</v>
      </c>
      <c r="C28" s="84"/>
      <c r="D28" s="85">
        <f t="shared" si="10"/>
        <v>2127.75</v>
      </c>
      <c r="F28" s="12" t="s">
        <v>22</v>
      </c>
      <c r="G28" s="84">
        <f t="shared" si="11"/>
        <v>3354.75</v>
      </c>
      <c r="H28" s="83"/>
      <c r="I28" s="85">
        <f t="shared" si="8"/>
        <v>3354.75</v>
      </c>
      <c r="L28" s="12" t="s">
        <v>22</v>
      </c>
      <c r="M28" s="58">
        <f>SUM(H41)</f>
        <v>0</v>
      </c>
      <c r="N28" s="58">
        <v>0</v>
      </c>
      <c r="O28" s="58">
        <v>0</v>
      </c>
      <c r="Q28" s="59">
        <v>7</v>
      </c>
      <c r="R28" s="61">
        <v>0</v>
      </c>
      <c r="S28" s="62">
        <v>0</v>
      </c>
      <c r="T28" s="62">
        <v>0</v>
      </c>
    </row>
    <row r="29" spans="1:20" x14ac:dyDescent="0.25">
      <c r="A29" s="12" t="s">
        <v>23</v>
      </c>
      <c r="B29" s="84">
        <f t="shared" si="12"/>
        <v>2127.75</v>
      </c>
      <c r="C29" s="84"/>
      <c r="D29" s="85">
        <f t="shared" si="10"/>
        <v>2127.75</v>
      </c>
      <c r="F29" s="12" t="s">
        <v>23</v>
      </c>
      <c r="G29" s="84">
        <f t="shared" si="11"/>
        <v>3940.75</v>
      </c>
      <c r="H29" s="83"/>
      <c r="I29" s="85">
        <f t="shared" si="8"/>
        <v>3940.75</v>
      </c>
      <c r="L29" s="12" t="s">
        <v>23</v>
      </c>
      <c r="M29" s="58">
        <f>SUM(H41)</f>
        <v>0</v>
      </c>
      <c r="N29" s="58">
        <v>0</v>
      </c>
      <c r="O29" s="58">
        <f t="shared" ref="O29" si="13">M29/3</f>
        <v>0</v>
      </c>
      <c r="Q29" s="59">
        <v>8</v>
      </c>
      <c r="R29" s="61">
        <v>0</v>
      </c>
      <c r="S29" s="62">
        <v>0</v>
      </c>
      <c r="T29" s="62">
        <v>0</v>
      </c>
    </row>
    <row r="30" spans="1:20" x14ac:dyDescent="0.25">
      <c r="A30" s="12" t="s">
        <v>24</v>
      </c>
      <c r="B30" s="84">
        <f t="shared" si="12"/>
        <v>2127.75</v>
      </c>
      <c r="C30" s="84"/>
      <c r="D30" s="85">
        <f t="shared" si="10"/>
        <v>2127.75</v>
      </c>
      <c r="F30" s="12" t="s">
        <v>24</v>
      </c>
      <c r="G30" s="84">
        <f t="shared" si="11"/>
        <v>4307.75</v>
      </c>
      <c r="H30" s="83"/>
      <c r="I30" s="85">
        <f t="shared" si="8"/>
        <v>4307.75</v>
      </c>
      <c r="L30" s="12" t="s">
        <v>24</v>
      </c>
      <c r="M30" s="58">
        <f>SUM(H41)</f>
        <v>0</v>
      </c>
      <c r="N30" s="58">
        <v>0</v>
      </c>
      <c r="O30" s="58">
        <v>0</v>
      </c>
      <c r="Q30" s="59">
        <v>9</v>
      </c>
      <c r="R30" s="61">
        <v>0</v>
      </c>
      <c r="S30" s="62">
        <v>0</v>
      </c>
      <c r="T30" s="62">
        <v>0</v>
      </c>
    </row>
    <row r="31" spans="1:20" x14ac:dyDescent="0.25">
      <c r="A31" s="12" t="s">
        <v>26</v>
      </c>
      <c r="B31" s="84">
        <f t="shared" si="12"/>
        <v>2127.75</v>
      </c>
      <c r="C31" s="84"/>
      <c r="D31" s="85">
        <f t="shared" si="10"/>
        <v>2127.75</v>
      </c>
      <c r="F31" s="12" t="s">
        <v>26</v>
      </c>
      <c r="G31" s="84">
        <f t="shared" si="11"/>
        <v>4205.75</v>
      </c>
      <c r="H31" s="83"/>
      <c r="I31" s="85">
        <f t="shared" si="8"/>
        <v>4205.75</v>
      </c>
      <c r="L31" s="12" t="s">
        <v>26</v>
      </c>
      <c r="M31" s="58">
        <f>SUM(H41)</f>
        <v>0</v>
      </c>
      <c r="N31" s="58">
        <v>0</v>
      </c>
      <c r="O31" s="58">
        <v>0</v>
      </c>
      <c r="Q31" s="59">
        <v>10</v>
      </c>
      <c r="R31" s="61">
        <v>0</v>
      </c>
      <c r="S31" s="62">
        <v>0</v>
      </c>
      <c r="T31" s="62">
        <v>0</v>
      </c>
    </row>
    <row r="32" spans="1:20" x14ac:dyDescent="0.25">
      <c r="A32" s="12" t="s">
        <v>27</v>
      </c>
      <c r="B32" s="84">
        <f t="shared" si="12"/>
        <v>2001.5</v>
      </c>
      <c r="C32" s="84"/>
      <c r="D32" s="85">
        <f t="shared" si="10"/>
        <v>2001.5</v>
      </c>
      <c r="F32" s="12" t="s">
        <v>27</v>
      </c>
      <c r="G32" s="84">
        <f t="shared" si="11"/>
        <v>3542.5</v>
      </c>
      <c r="H32" s="83"/>
      <c r="I32" s="85">
        <f t="shared" si="8"/>
        <v>3542.5</v>
      </c>
      <c r="L32" s="12" t="s">
        <v>27</v>
      </c>
      <c r="M32" s="58">
        <f>SUM(H41)</f>
        <v>0</v>
      </c>
      <c r="N32" s="58">
        <v>0</v>
      </c>
      <c r="O32" s="58">
        <v>0</v>
      </c>
      <c r="Q32" s="59">
        <v>11</v>
      </c>
      <c r="R32" s="61">
        <v>0</v>
      </c>
      <c r="S32" s="62">
        <v>0</v>
      </c>
      <c r="T32" s="62">
        <v>0</v>
      </c>
    </row>
    <row r="33" spans="1:22" x14ac:dyDescent="0.25">
      <c r="A33" s="12" t="s">
        <v>28</v>
      </c>
      <c r="B33" s="84">
        <f t="shared" si="12"/>
        <v>2127.75</v>
      </c>
      <c r="C33" s="84"/>
      <c r="D33" s="85">
        <f t="shared" si="10"/>
        <v>2127.75</v>
      </c>
      <c r="F33" s="12" t="s">
        <v>28</v>
      </c>
      <c r="G33" s="84">
        <f t="shared" si="11"/>
        <v>3308.75</v>
      </c>
      <c r="H33" s="83"/>
      <c r="I33" s="85">
        <f t="shared" si="8"/>
        <v>3308.75</v>
      </c>
      <c r="L33" s="12" t="s">
        <v>28</v>
      </c>
      <c r="M33" s="58">
        <f>SUM(H41)</f>
        <v>0</v>
      </c>
      <c r="N33" s="58">
        <v>0</v>
      </c>
      <c r="O33" s="58">
        <v>0</v>
      </c>
      <c r="Q33" s="59">
        <v>12</v>
      </c>
      <c r="R33" s="61">
        <v>0</v>
      </c>
      <c r="S33" s="62">
        <v>0</v>
      </c>
      <c r="T33" s="62">
        <v>0</v>
      </c>
    </row>
    <row r="34" spans="1:22" x14ac:dyDescent="0.25">
      <c r="A34" s="12" t="s">
        <v>29</v>
      </c>
      <c r="B34" s="84">
        <f t="shared" si="12"/>
        <v>1927.75</v>
      </c>
      <c r="C34" s="84"/>
      <c r="D34" s="85">
        <f t="shared" si="10"/>
        <v>1927.75</v>
      </c>
      <c r="E34" s="53">
        <v>-390</v>
      </c>
      <c r="F34" s="12" t="s">
        <v>29</v>
      </c>
      <c r="G34" s="84">
        <f t="shared" si="11"/>
        <v>2987.75</v>
      </c>
      <c r="H34" s="83"/>
      <c r="I34" s="85">
        <f t="shared" si="8"/>
        <v>2987.75</v>
      </c>
      <c r="L34" s="12" t="s">
        <v>29</v>
      </c>
      <c r="M34" s="58">
        <f>SUM(H41)</f>
        <v>0</v>
      </c>
      <c r="N34" s="58">
        <v>0</v>
      </c>
      <c r="O34" s="58">
        <v>0</v>
      </c>
    </row>
    <row r="35" spans="1:22" x14ac:dyDescent="0.25">
      <c r="A35" s="9" t="s">
        <v>30</v>
      </c>
      <c r="B35" s="7">
        <f>SUM(B23:B34)</f>
        <v>24976.25</v>
      </c>
      <c r="C35" s="3"/>
      <c r="D35" s="7">
        <f>SUM(D23:D34)</f>
        <v>24976.25</v>
      </c>
      <c r="F35" s="9" t="s">
        <v>30</v>
      </c>
      <c r="G35" s="7">
        <f>SUM(G23:G34)</f>
        <v>42851.75</v>
      </c>
      <c r="I35" s="7">
        <f>SUM(I23:I34)</f>
        <v>42851.75</v>
      </c>
    </row>
    <row r="36" spans="1:22" x14ac:dyDescent="0.25">
      <c r="C36" s="3"/>
      <c r="D36" s="3"/>
    </row>
    <row r="38" spans="1:22" x14ac:dyDescent="0.25">
      <c r="V38" s="3"/>
    </row>
    <row r="39" spans="1:22" x14ac:dyDescent="0.25">
      <c r="B39" s="64" t="s">
        <v>41</v>
      </c>
      <c r="C39" s="3"/>
      <c r="U39" s="89"/>
      <c r="V39" s="90"/>
    </row>
    <row r="40" spans="1:22" x14ac:dyDescent="0.25">
      <c r="A40" s="10" t="s">
        <v>5</v>
      </c>
      <c r="B40" s="10"/>
      <c r="C40" s="10" t="s">
        <v>32</v>
      </c>
      <c r="D40" s="10" t="s">
        <v>33</v>
      </c>
      <c r="E40" s="68" t="s">
        <v>15</v>
      </c>
      <c r="L40" s="65"/>
      <c r="M40" s="65" t="s">
        <v>47</v>
      </c>
      <c r="U40" s="91"/>
      <c r="V40" s="90"/>
    </row>
    <row r="41" spans="1:22" x14ac:dyDescent="0.25">
      <c r="A41" s="12" t="s">
        <v>14</v>
      </c>
      <c r="B41" s="84">
        <f>SUM(J4,E41,M4,F41,G41)</f>
        <v>1472.5</v>
      </c>
      <c r="C41" s="84"/>
      <c r="D41" s="86">
        <f>SUM(B41,C41)</f>
        <v>1472.5</v>
      </c>
      <c r="E41" s="87"/>
      <c r="F41" s="75"/>
      <c r="L41" s="65">
        <v>1</v>
      </c>
      <c r="M41" s="81">
        <f>SUM(B23,G23,B41)</f>
        <v>6053.5</v>
      </c>
      <c r="U41" s="91"/>
      <c r="V41" s="90"/>
    </row>
    <row r="42" spans="1:22" x14ac:dyDescent="0.25">
      <c r="A42" s="12" t="s">
        <v>17</v>
      </c>
      <c r="B42" s="84">
        <f>SUM(J5,E42,M5)</f>
        <v>1329.25</v>
      </c>
      <c r="C42" s="84"/>
      <c r="D42" s="86">
        <f t="shared" ref="D42:D52" si="14">SUM(B42,C42)</f>
        <v>1329.25</v>
      </c>
      <c r="E42" s="88"/>
      <c r="F42" s="74"/>
      <c r="L42" s="65">
        <v>2</v>
      </c>
      <c r="M42" s="81">
        <f t="shared" ref="M42:M52" si="15">SUM(B24,G24,B42)</f>
        <v>6098.25</v>
      </c>
      <c r="P42" s="76"/>
      <c r="T42" s="66"/>
      <c r="U42" s="91"/>
      <c r="V42" s="90"/>
    </row>
    <row r="43" spans="1:22" x14ac:dyDescent="0.25">
      <c r="A43" s="12" t="s">
        <v>19</v>
      </c>
      <c r="B43" s="84">
        <f>SUM(J6,E43,M6,G43)</f>
        <v>1679.25</v>
      </c>
      <c r="C43" s="84"/>
      <c r="D43" s="86">
        <f t="shared" si="14"/>
        <v>1679.25</v>
      </c>
      <c r="E43" s="88"/>
      <c r="F43" s="74"/>
      <c r="L43" s="65">
        <v>3</v>
      </c>
      <c r="M43" s="81">
        <f t="shared" si="15"/>
        <v>8363.25</v>
      </c>
      <c r="P43" s="72"/>
      <c r="U43" s="91"/>
      <c r="V43" s="90"/>
    </row>
    <row r="44" spans="1:22" x14ac:dyDescent="0.25">
      <c r="A44" s="12" t="s">
        <v>20</v>
      </c>
      <c r="B44" s="84">
        <f t="shared" ref="B44:B52" si="16">SUM(J7,E44,M7)</f>
        <v>1679.75</v>
      </c>
      <c r="C44" s="84"/>
      <c r="D44" s="86">
        <f t="shared" si="14"/>
        <v>1679.75</v>
      </c>
      <c r="E44" s="88"/>
      <c r="L44" s="65">
        <v>4</v>
      </c>
      <c r="M44" s="81">
        <f t="shared" si="15"/>
        <v>7731.25</v>
      </c>
      <c r="P44" s="72"/>
      <c r="U44" s="91"/>
      <c r="V44" s="90"/>
    </row>
    <row r="45" spans="1:22" x14ac:dyDescent="0.25">
      <c r="A45" s="12" t="s">
        <v>21</v>
      </c>
      <c r="B45" s="84">
        <f>SUM(J8,E45,M8)</f>
        <v>1579.75</v>
      </c>
      <c r="C45" s="84"/>
      <c r="D45" s="86">
        <f t="shared" si="14"/>
        <v>1579.75</v>
      </c>
      <c r="E45" s="88"/>
      <c r="L45" s="65">
        <v>5</v>
      </c>
      <c r="M45" s="81">
        <f t="shared" si="15"/>
        <v>7106.25</v>
      </c>
      <c r="P45" s="71"/>
      <c r="U45" s="91"/>
      <c r="V45" s="90"/>
    </row>
    <row r="46" spans="1:22" x14ac:dyDescent="0.25">
      <c r="A46" s="12" t="s">
        <v>22</v>
      </c>
      <c r="B46" s="84">
        <f t="shared" si="16"/>
        <v>1672.75</v>
      </c>
      <c r="C46" s="84"/>
      <c r="D46" s="86">
        <f t="shared" si="14"/>
        <v>1672.75</v>
      </c>
      <c r="E46" s="88"/>
      <c r="L46" s="65">
        <v>6</v>
      </c>
      <c r="M46" s="81">
        <f t="shared" si="15"/>
        <v>7155.25</v>
      </c>
      <c r="P46" s="71"/>
    </row>
    <row r="47" spans="1:22" x14ac:dyDescent="0.25">
      <c r="A47" s="12" t="s">
        <v>23</v>
      </c>
      <c r="B47" s="84">
        <f t="shared" si="16"/>
        <v>1672.75</v>
      </c>
      <c r="C47" s="84"/>
      <c r="D47" s="86">
        <f t="shared" si="14"/>
        <v>1672.75</v>
      </c>
      <c r="E47" s="88"/>
      <c r="L47" s="65">
        <v>7</v>
      </c>
      <c r="M47" s="81">
        <f t="shared" si="15"/>
        <v>7741.25</v>
      </c>
    </row>
    <row r="48" spans="1:22" x14ac:dyDescent="0.25">
      <c r="A48" s="12" t="s">
        <v>24</v>
      </c>
      <c r="B48" s="84">
        <f t="shared" si="16"/>
        <v>1672.75</v>
      </c>
      <c r="C48" s="84"/>
      <c r="D48" s="86">
        <f t="shared" si="14"/>
        <v>1672.75</v>
      </c>
      <c r="E48" s="88"/>
      <c r="L48" s="65">
        <v>8</v>
      </c>
      <c r="M48" s="81">
        <f t="shared" si="15"/>
        <v>8108.25</v>
      </c>
    </row>
    <row r="49" spans="1:13" x14ac:dyDescent="0.25">
      <c r="A49" s="12" t="s">
        <v>26</v>
      </c>
      <c r="B49" s="84">
        <f>SUM(J12,E49,M12)</f>
        <v>1672.75</v>
      </c>
      <c r="C49" s="84"/>
      <c r="D49" s="86">
        <f t="shared" si="14"/>
        <v>1672.75</v>
      </c>
      <c r="E49" s="88"/>
      <c r="L49" s="65">
        <v>9</v>
      </c>
      <c r="M49" s="81">
        <f>SUM(B31,G31,B49)</f>
        <v>8006.25</v>
      </c>
    </row>
    <row r="50" spans="1:13" x14ac:dyDescent="0.25">
      <c r="A50" s="12" t="s">
        <v>27</v>
      </c>
      <c r="B50" s="84">
        <f>SUM(J13,E50,M13)</f>
        <v>1545.25</v>
      </c>
      <c r="C50" s="84"/>
      <c r="D50" s="86">
        <f t="shared" si="14"/>
        <v>1545.25</v>
      </c>
      <c r="E50" s="88"/>
      <c r="L50" s="65">
        <v>10</v>
      </c>
      <c r="M50" s="81">
        <f t="shared" si="15"/>
        <v>7089.25</v>
      </c>
    </row>
    <row r="51" spans="1:13" x14ac:dyDescent="0.25">
      <c r="A51" s="12" t="s">
        <v>28</v>
      </c>
      <c r="B51" s="84">
        <f>SUM(J14,E51,M14)</f>
        <v>1672.75</v>
      </c>
      <c r="C51" s="84"/>
      <c r="D51" s="86">
        <f>SUM(B51,C51)</f>
        <v>1672.75</v>
      </c>
      <c r="E51" s="88"/>
      <c r="L51" s="65">
        <v>11</v>
      </c>
      <c r="M51" s="81">
        <f>SUM(B33,G33,B51)</f>
        <v>7109.25</v>
      </c>
    </row>
    <row r="52" spans="1:13" x14ac:dyDescent="0.25">
      <c r="A52" s="12" t="s">
        <v>29</v>
      </c>
      <c r="B52" s="84">
        <f t="shared" si="16"/>
        <v>1472.75</v>
      </c>
      <c r="C52" s="84"/>
      <c r="D52" s="86">
        <f t="shared" si="14"/>
        <v>1472.75</v>
      </c>
      <c r="E52" s="88"/>
      <c r="L52" s="67">
        <v>12</v>
      </c>
      <c r="M52" s="81">
        <f t="shared" si="15"/>
        <v>6388.25</v>
      </c>
    </row>
    <row r="53" spans="1:13" x14ac:dyDescent="0.25">
      <c r="A53" s="9" t="s">
        <v>30</v>
      </c>
      <c r="B53" s="7">
        <f>SUM(B41:B52)</f>
        <v>19122.25</v>
      </c>
      <c r="C53" s="3"/>
      <c r="D53" s="7">
        <f>SUM(D41:D52)</f>
        <v>19122.25</v>
      </c>
      <c r="E53" s="70">
        <f>SUM(E41:E52)</f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workbookViewId="0">
      <selection activeCell="G45" sqref="G45"/>
    </sheetView>
  </sheetViews>
  <sheetFormatPr baseColWidth="10" defaultRowHeight="15" x14ac:dyDescent="0.25"/>
  <cols>
    <col min="1" max="6" width="11.42578125" style="53"/>
    <col min="7" max="7" width="17.28515625" style="53" customWidth="1"/>
    <col min="8" max="20" width="11.42578125" style="53"/>
    <col min="21" max="21" width="23.140625" style="53" customWidth="1"/>
    <col min="22" max="16384" width="11.42578125" style="53"/>
  </cols>
  <sheetData>
    <row r="1" spans="1:21" x14ac:dyDescent="0.25">
      <c r="B1" s="3"/>
      <c r="C1" s="3"/>
      <c r="D1" s="77" t="s">
        <v>6</v>
      </c>
      <c r="E1" s="59">
        <v>6870</v>
      </c>
    </row>
    <row r="2" spans="1:21" x14ac:dyDescent="0.25">
      <c r="B2" s="3"/>
      <c r="C2" s="3"/>
      <c r="D2" s="3"/>
      <c r="I2" s="5" t="s">
        <v>43</v>
      </c>
      <c r="J2" s="54"/>
      <c r="K2" s="54"/>
      <c r="L2" s="5" t="s">
        <v>44</v>
      </c>
      <c r="M2" s="54"/>
      <c r="N2" s="54"/>
      <c r="O2" s="5" t="s">
        <v>45</v>
      </c>
      <c r="P2" s="54"/>
      <c r="Q2" s="54"/>
      <c r="R2" s="5" t="s">
        <v>62</v>
      </c>
      <c r="T2" s="5" t="s">
        <v>63</v>
      </c>
    </row>
    <row r="3" spans="1:21" x14ac:dyDescent="0.25">
      <c r="A3" s="55" t="s">
        <v>5</v>
      </c>
      <c r="B3" s="55" t="s">
        <v>6</v>
      </c>
      <c r="C3" s="55" t="s">
        <v>7</v>
      </c>
      <c r="D3" s="55" t="s">
        <v>8</v>
      </c>
      <c r="E3" s="9" t="s">
        <v>9</v>
      </c>
      <c r="F3" s="9" t="s">
        <v>10</v>
      </c>
      <c r="G3" s="9" t="s">
        <v>11</v>
      </c>
      <c r="I3" s="10" t="s">
        <v>12</v>
      </c>
      <c r="J3" s="56" t="s">
        <v>41</v>
      </c>
      <c r="K3" s="11" t="s">
        <v>13</v>
      </c>
      <c r="L3" s="10" t="s">
        <v>12</v>
      </c>
      <c r="M3" s="56" t="s">
        <v>41</v>
      </c>
      <c r="N3" s="11" t="s">
        <v>13</v>
      </c>
      <c r="O3" s="10" t="s">
        <v>12</v>
      </c>
      <c r="P3" s="56" t="s">
        <v>41</v>
      </c>
      <c r="Q3" s="11" t="s">
        <v>13</v>
      </c>
      <c r="R3" s="10" t="s">
        <v>12</v>
      </c>
      <c r="S3" s="11" t="s">
        <v>13</v>
      </c>
      <c r="T3" s="11" t="s">
        <v>13</v>
      </c>
    </row>
    <row r="4" spans="1:21" x14ac:dyDescent="0.25">
      <c r="A4" s="12" t="s">
        <v>14</v>
      </c>
      <c r="B4" s="84">
        <v>6505</v>
      </c>
      <c r="C4" s="84">
        <v>1891</v>
      </c>
      <c r="D4" s="84">
        <v>1820</v>
      </c>
      <c r="E4" s="82">
        <f>CUENTAS!B16</f>
        <v>882</v>
      </c>
      <c r="F4" s="83">
        <f>CUENTAS!B17</f>
        <v>630</v>
      </c>
      <c r="G4" s="82">
        <f t="shared" ref="G4:G15" si="0">SUM(B4:F4)</f>
        <v>11728</v>
      </c>
      <c r="I4" s="83">
        <v>900</v>
      </c>
      <c r="J4" s="83">
        <v>900</v>
      </c>
      <c r="K4" s="83">
        <v>1688</v>
      </c>
      <c r="L4" s="83">
        <f>C4/4</f>
        <v>472.75</v>
      </c>
      <c r="M4" s="83">
        <f>C4/4</f>
        <v>472.75</v>
      </c>
      <c r="N4" s="83">
        <f>C4/4</f>
        <v>472.75</v>
      </c>
      <c r="O4" s="83">
        <f>D4/4</f>
        <v>455</v>
      </c>
      <c r="P4" s="83">
        <f>D4/4</f>
        <v>455</v>
      </c>
      <c r="Q4" s="83">
        <f>D4/4</f>
        <v>455</v>
      </c>
      <c r="R4" s="83">
        <v>0</v>
      </c>
      <c r="S4" s="83">
        <f>E4/3</f>
        <v>294</v>
      </c>
      <c r="T4" s="83">
        <f>F4/6</f>
        <v>105</v>
      </c>
      <c r="U4" s="53">
        <v>1456</v>
      </c>
    </row>
    <row r="5" spans="1:21" x14ac:dyDescent="0.25">
      <c r="A5" s="12" t="s">
        <v>17</v>
      </c>
      <c r="B5" s="84">
        <v>9520</v>
      </c>
      <c r="C5" s="84">
        <v>1939</v>
      </c>
      <c r="D5" s="84">
        <v>1820</v>
      </c>
      <c r="E5" s="82">
        <f>CUENTAS!B16</f>
        <v>882</v>
      </c>
      <c r="F5" s="83">
        <f>CUENTAS!B17</f>
        <v>630</v>
      </c>
      <c r="G5" s="82">
        <f t="shared" si="0"/>
        <v>14791</v>
      </c>
      <c r="I5" s="83">
        <v>1300</v>
      </c>
      <c r="J5" s="83">
        <v>1300</v>
      </c>
      <c r="K5" s="83">
        <v>2458</v>
      </c>
      <c r="L5" s="83">
        <f t="shared" ref="L5:L15" si="1">C5/4</f>
        <v>484.75</v>
      </c>
      <c r="M5" s="83">
        <f t="shared" ref="M5:M15" si="2">C5/4</f>
        <v>484.75</v>
      </c>
      <c r="N5" s="83">
        <f t="shared" ref="N5:O15" si="3">C5/4</f>
        <v>484.75</v>
      </c>
      <c r="O5" s="83">
        <f t="shared" si="3"/>
        <v>455</v>
      </c>
      <c r="P5" s="83">
        <f t="shared" ref="P5:P15" si="4">D5/4</f>
        <v>455</v>
      </c>
      <c r="Q5" s="83">
        <f t="shared" ref="Q5:Q15" si="5">D5/4</f>
        <v>455</v>
      </c>
      <c r="R5" s="83">
        <v>0</v>
      </c>
      <c r="S5" s="83">
        <f t="shared" ref="S5:S15" si="6">E5/3</f>
        <v>294</v>
      </c>
      <c r="T5" s="83">
        <f t="shared" ref="T5:T15" si="7">F5/6</f>
        <v>105</v>
      </c>
    </row>
    <row r="6" spans="1:21" x14ac:dyDescent="0.25">
      <c r="A6" s="12" t="s">
        <v>19</v>
      </c>
      <c r="B6" s="84">
        <v>9390</v>
      </c>
      <c r="C6" s="84">
        <v>2015</v>
      </c>
      <c r="D6" s="84">
        <v>1893</v>
      </c>
      <c r="E6" s="82">
        <f>CUENTAS!B16</f>
        <v>882</v>
      </c>
      <c r="F6" s="83">
        <f>CUENTAS!B17</f>
        <v>630</v>
      </c>
      <c r="G6" s="82">
        <f t="shared" si="0"/>
        <v>14810</v>
      </c>
      <c r="I6" s="83">
        <v>1300</v>
      </c>
      <c r="J6" s="83">
        <v>1300</v>
      </c>
      <c r="K6" s="83">
        <v>2684</v>
      </c>
      <c r="L6" s="83">
        <f t="shared" si="1"/>
        <v>503.75</v>
      </c>
      <c r="M6" s="83">
        <f t="shared" si="2"/>
        <v>503.75</v>
      </c>
      <c r="N6" s="83">
        <f t="shared" si="3"/>
        <v>503.75</v>
      </c>
      <c r="O6" s="83">
        <f t="shared" si="3"/>
        <v>473.25</v>
      </c>
      <c r="P6" s="83">
        <f t="shared" si="4"/>
        <v>473.25</v>
      </c>
      <c r="Q6" s="83">
        <f t="shared" si="5"/>
        <v>473.25</v>
      </c>
      <c r="R6" s="83">
        <v>0</v>
      </c>
      <c r="S6" s="83">
        <f t="shared" si="6"/>
        <v>294</v>
      </c>
      <c r="T6" s="83">
        <f t="shared" si="7"/>
        <v>105</v>
      </c>
    </row>
    <row r="7" spans="1:21" x14ac:dyDescent="0.25">
      <c r="A7" s="12" t="s">
        <v>20</v>
      </c>
      <c r="B7" s="84">
        <v>7239</v>
      </c>
      <c r="C7" s="84">
        <v>1498</v>
      </c>
      <c r="D7" s="84">
        <v>1893</v>
      </c>
      <c r="E7" s="82">
        <f>CUENTAS!B16</f>
        <v>882</v>
      </c>
      <c r="F7" s="83">
        <f>CUENTAS!B17</f>
        <v>630</v>
      </c>
      <c r="G7" s="82">
        <f t="shared" si="0"/>
        <v>12142</v>
      </c>
      <c r="I7" s="83">
        <v>1300</v>
      </c>
      <c r="J7" s="83">
        <v>1300</v>
      </c>
      <c r="K7" s="83">
        <v>1629</v>
      </c>
      <c r="L7" s="83">
        <f t="shared" si="1"/>
        <v>374.5</v>
      </c>
      <c r="M7" s="83">
        <f t="shared" si="2"/>
        <v>374.5</v>
      </c>
      <c r="N7" s="83">
        <f t="shared" si="3"/>
        <v>374.5</v>
      </c>
      <c r="O7" s="83">
        <f t="shared" si="3"/>
        <v>473.25</v>
      </c>
      <c r="P7" s="83">
        <f t="shared" si="4"/>
        <v>473.25</v>
      </c>
      <c r="Q7" s="83">
        <f t="shared" si="5"/>
        <v>473.25</v>
      </c>
      <c r="R7" s="83">
        <v>0</v>
      </c>
      <c r="S7" s="83">
        <f t="shared" si="6"/>
        <v>294</v>
      </c>
      <c r="T7" s="83">
        <f t="shared" si="7"/>
        <v>105</v>
      </c>
    </row>
    <row r="8" spans="1:21" x14ac:dyDescent="0.25">
      <c r="A8" s="12" t="s">
        <v>21</v>
      </c>
      <c r="B8" s="84">
        <v>7826</v>
      </c>
      <c r="C8" s="84">
        <v>1498</v>
      </c>
      <c r="D8" s="84">
        <v>1893</v>
      </c>
      <c r="E8" s="82">
        <f>CUENTAS!B16</f>
        <v>882</v>
      </c>
      <c r="F8" s="83">
        <f>CUENTAS!B17</f>
        <v>630</v>
      </c>
      <c r="G8" s="82">
        <f t="shared" si="0"/>
        <v>12729</v>
      </c>
      <c r="I8" s="83">
        <v>1300</v>
      </c>
      <c r="J8" s="83">
        <v>1300</v>
      </c>
      <c r="K8" s="83">
        <v>1902</v>
      </c>
      <c r="L8" s="83">
        <f t="shared" si="1"/>
        <v>374.5</v>
      </c>
      <c r="M8" s="83">
        <f t="shared" si="2"/>
        <v>374.5</v>
      </c>
      <c r="N8" s="83">
        <f t="shared" si="3"/>
        <v>374.5</v>
      </c>
      <c r="O8" s="83">
        <f t="shared" si="3"/>
        <v>473.25</v>
      </c>
      <c r="P8" s="83">
        <f t="shared" si="4"/>
        <v>473.25</v>
      </c>
      <c r="Q8" s="83">
        <f t="shared" si="5"/>
        <v>473.25</v>
      </c>
      <c r="R8" s="83">
        <v>0</v>
      </c>
      <c r="S8" s="83">
        <f t="shared" si="6"/>
        <v>294</v>
      </c>
      <c r="T8" s="83">
        <f t="shared" si="7"/>
        <v>105</v>
      </c>
    </row>
    <row r="9" spans="1:21" x14ac:dyDescent="0.25">
      <c r="A9" s="12" t="s">
        <v>22</v>
      </c>
      <c r="B9" s="84"/>
      <c r="C9" s="84"/>
      <c r="D9" s="84"/>
      <c r="E9" s="82">
        <f>CUENTAS!B16</f>
        <v>882</v>
      </c>
      <c r="F9" s="83">
        <f>CUENTAS!B17</f>
        <v>630</v>
      </c>
      <c r="G9" s="82">
        <f t="shared" si="0"/>
        <v>1512</v>
      </c>
      <c r="I9" s="83"/>
      <c r="J9" s="83"/>
      <c r="K9" s="83"/>
      <c r="L9" s="83">
        <f t="shared" si="1"/>
        <v>0</v>
      </c>
      <c r="M9" s="83">
        <f t="shared" si="2"/>
        <v>0</v>
      </c>
      <c r="N9" s="83">
        <f t="shared" si="3"/>
        <v>0</v>
      </c>
      <c r="O9" s="83">
        <f t="shared" si="3"/>
        <v>0</v>
      </c>
      <c r="P9" s="83">
        <f t="shared" si="4"/>
        <v>0</v>
      </c>
      <c r="Q9" s="83">
        <f t="shared" si="5"/>
        <v>0</v>
      </c>
      <c r="R9" s="83">
        <v>0</v>
      </c>
      <c r="S9" s="83">
        <f t="shared" si="6"/>
        <v>294</v>
      </c>
      <c r="T9" s="83">
        <f t="shared" si="7"/>
        <v>105</v>
      </c>
    </row>
    <row r="10" spans="1:21" x14ac:dyDescent="0.25">
      <c r="A10" s="12" t="s">
        <v>23</v>
      </c>
      <c r="B10" s="84"/>
      <c r="C10" s="84"/>
      <c r="D10" s="84"/>
      <c r="E10" s="82">
        <f>CUENTAS!B16</f>
        <v>882</v>
      </c>
      <c r="F10" s="83">
        <f>CUENTAS!B17</f>
        <v>630</v>
      </c>
      <c r="G10" s="82">
        <f t="shared" si="0"/>
        <v>1512</v>
      </c>
      <c r="I10" s="83"/>
      <c r="J10" s="83"/>
      <c r="K10" s="83"/>
      <c r="L10" s="83">
        <f t="shared" si="1"/>
        <v>0</v>
      </c>
      <c r="M10" s="83">
        <f t="shared" si="2"/>
        <v>0</v>
      </c>
      <c r="N10" s="83">
        <f t="shared" si="3"/>
        <v>0</v>
      </c>
      <c r="O10" s="83">
        <f t="shared" si="3"/>
        <v>0</v>
      </c>
      <c r="P10" s="83">
        <f t="shared" si="4"/>
        <v>0</v>
      </c>
      <c r="Q10" s="83">
        <f t="shared" si="5"/>
        <v>0</v>
      </c>
      <c r="R10" s="83">
        <v>0</v>
      </c>
      <c r="S10" s="83">
        <f t="shared" si="6"/>
        <v>294</v>
      </c>
      <c r="T10" s="83">
        <f t="shared" si="7"/>
        <v>105</v>
      </c>
    </row>
    <row r="11" spans="1:21" x14ac:dyDescent="0.25">
      <c r="A11" s="12" t="s">
        <v>24</v>
      </c>
      <c r="B11" s="84"/>
      <c r="C11" s="84"/>
      <c r="D11" s="84"/>
      <c r="E11" s="82">
        <f>CUENTAS!B16</f>
        <v>882</v>
      </c>
      <c r="F11" s="83">
        <f>CUENTAS!B17</f>
        <v>630</v>
      </c>
      <c r="G11" s="82">
        <f t="shared" si="0"/>
        <v>1512</v>
      </c>
      <c r="I11" s="83"/>
      <c r="J11" s="83"/>
      <c r="K11" s="83"/>
      <c r="L11" s="83">
        <f t="shared" si="1"/>
        <v>0</v>
      </c>
      <c r="M11" s="83">
        <f t="shared" si="2"/>
        <v>0</v>
      </c>
      <c r="N11" s="83">
        <f t="shared" si="3"/>
        <v>0</v>
      </c>
      <c r="O11" s="83">
        <f t="shared" si="3"/>
        <v>0</v>
      </c>
      <c r="P11" s="83">
        <f t="shared" si="4"/>
        <v>0</v>
      </c>
      <c r="Q11" s="83">
        <f t="shared" si="5"/>
        <v>0</v>
      </c>
      <c r="R11" s="83">
        <v>0</v>
      </c>
      <c r="S11" s="83">
        <f t="shared" si="6"/>
        <v>294</v>
      </c>
      <c r="T11" s="83">
        <f t="shared" si="7"/>
        <v>105</v>
      </c>
    </row>
    <row r="12" spans="1:21" x14ac:dyDescent="0.25">
      <c r="A12" s="12" t="s">
        <v>26</v>
      </c>
      <c r="B12" s="84"/>
      <c r="C12" s="84"/>
      <c r="D12" s="84"/>
      <c r="E12" s="82">
        <f>CUENTAS!B16</f>
        <v>882</v>
      </c>
      <c r="F12" s="83">
        <f>CUENTAS!B17</f>
        <v>630</v>
      </c>
      <c r="G12" s="82">
        <f t="shared" si="0"/>
        <v>1512</v>
      </c>
      <c r="I12" s="83"/>
      <c r="J12" s="83"/>
      <c r="K12" s="83"/>
      <c r="L12" s="83">
        <f t="shared" si="1"/>
        <v>0</v>
      </c>
      <c r="M12" s="83">
        <f t="shared" si="2"/>
        <v>0</v>
      </c>
      <c r="N12" s="83">
        <f t="shared" si="3"/>
        <v>0</v>
      </c>
      <c r="O12" s="83">
        <f t="shared" si="3"/>
        <v>0</v>
      </c>
      <c r="P12" s="83">
        <f t="shared" si="4"/>
        <v>0</v>
      </c>
      <c r="Q12" s="83">
        <f t="shared" si="5"/>
        <v>0</v>
      </c>
      <c r="R12" s="83">
        <v>0</v>
      </c>
      <c r="S12" s="83">
        <f t="shared" si="6"/>
        <v>294</v>
      </c>
      <c r="T12" s="83">
        <f t="shared" si="7"/>
        <v>105</v>
      </c>
    </row>
    <row r="13" spans="1:21" x14ac:dyDescent="0.25">
      <c r="A13" s="12" t="s">
        <v>27</v>
      </c>
      <c r="B13" s="84"/>
      <c r="C13" s="84"/>
      <c r="D13" s="84"/>
      <c r="E13" s="82">
        <f>CUENTAS!B16</f>
        <v>882</v>
      </c>
      <c r="F13" s="83">
        <f>CUENTAS!B17</f>
        <v>630</v>
      </c>
      <c r="G13" s="82">
        <f t="shared" si="0"/>
        <v>1512</v>
      </c>
      <c r="I13" s="83"/>
      <c r="J13" s="83"/>
      <c r="K13" s="83"/>
      <c r="L13" s="83">
        <f t="shared" si="1"/>
        <v>0</v>
      </c>
      <c r="M13" s="83">
        <f t="shared" si="2"/>
        <v>0</v>
      </c>
      <c r="N13" s="83">
        <f t="shared" si="3"/>
        <v>0</v>
      </c>
      <c r="O13" s="83">
        <f t="shared" si="3"/>
        <v>0</v>
      </c>
      <c r="P13" s="83">
        <f t="shared" si="4"/>
        <v>0</v>
      </c>
      <c r="Q13" s="83">
        <f t="shared" si="5"/>
        <v>0</v>
      </c>
      <c r="R13" s="83">
        <v>0</v>
      </c>
      <c r="S13" s="83">
        <f t="shared" si="6"/>
        <v>294</v>
      </c>
      <c r="T13" s="83">
        <f t="shared" si="7"/>
        <v>105</v>
      </c>
    </row>
    <row r="14" spans="1:21" x14ac:dyDescent="0.25">
      <c r="A14" s="12" t="s">
        <v>28</v>
      </c>
      <c r="B14" s="84"/>
      <c r="C14" s="84"/>
      <c r="D14" s="84"/>
      <c r="E14" s="82">
        <f>CUENTAS!B16</f>
        <v>882</v>
      </c>
      <c r="F14" s="83">
        <f>CUENTAS!B17</f>
        <v>630</v>
      </c>
      <c r="G14" s="82">
        <f t="shared" si="0"/>
        <v>1512</v>
      </c>
      <c r="I14" s="83"/>
      <c r="J14" s="83"/>
      <c r="K14" s="83"/>
      <c r="L14" s="83">
        <f t="shared" si="1"/>
        <v>0</v>
      </c>
      <c r="M14" s="83">
        <f t="shared" si="2"/>
        <v>0</v>
      </c>
      <c r="N14" s="83">
        <f t="shared" si="3"/>
        <v>0</v>
      </c>
      <c r="O14" s="83">
        <f t="shared" si="3"/>
        <v>0</v>
      </c>
      <c r="P14" s="83">
        <f t="shared" si="4"/>
        <v>0</v>
      </c>
      <c r="Q14" s="83">
        <f t="shared" si="5"/>
        <v>0</v>
      </c>
      <c r="R14" s="83">
        <v>0</v>
      </c>
      <c r="S14" s="83">
        <f t="shared" si="6"/>
        <v>294</v>
      </c>
      <c r="T14" s="83">
        <f t="shared" si="7"/>
        <v>105</v>
      </c>
    </row>
    <row r="15" spans="1:21" x14ac:dyDescent="0.25">
      <c r="A15" s="12" t="s">
        <v>29</v>
      </c>
      <c r="B15" s="84"/>
      <c r="C15" s="84"/>
      <c r="D15" s="84"/>
      <c r="E15" s="82">
        <f>CUENTAS!B16</f>
        <v>882</v>
      </c>
      <c r="F15" s="83">
        <f>CUENTAS!B17</f>
        <v>630</v>
      </c>
      <c r="G15" s="82">
        <f t="shared" si="0"/>
        <v>1512</v>
      </c>
      <c r="I15" s="83"/>
      <c r="J15" s="83"/>
      <c r="K15" s="83"/>
      <c r="L15" s="83">
        <f t="shared" si="1"/>
        <v>0</v>
      </c>
      <c r="M15" s="83">
        <f t="shared" si="2"/>
        <v>0</v>
      </c>
      <c r="N15" s="83">
        <f t="shared" si="3"/>
        <v>0</v>
      </c>
      <c r="O15" s="83">
        <f t="shared" si="3"/>
        <v>0</v>
      </c>
      <c r="P15" s="83">
        <f t="shared" si="4"/>
        <v>0</v>
      </c>
      <c r="Q15" s="83">
        <f t="shared" si="5"/>
        <v>0</v>
      </c>
      <c r="R15" s="83">
        <v>0</v>
      </c>
      <c r="S15" s="83">
        <f t="shared" si="6"/>
        <v>294</v>
      </c>
      <c r="T15" s="83">
        <f t="shared" si="7"/>
        <v>105</v>
      </c>
    </row>
    <row r="16" spans="1:21" x14ac:dyDescent="0.25">
      <c r="A16" s="9" t="s">
        <v>30</v>
      </c>
      <c r="B16" s="7">
        <f t="shared" ref="B16:F16" si="8">SUM(B4:B15)</f>
        <v>40480</v>
      </c>
      <c r="C16" s="7">
        <f t="shared" si="8"/>
        <v>8841</v>
      </c>
      <c r="D16" s="7">
        <f t="shared" si="8"/>
        <v>9319</v>
      </c>
      <c r="E16" s="7">
        <f t="shared" si="8"/>
        <v>10584</v>
      </c>
      <c r="F16" s="7">
        <f t="shared" si="8"/>
        <v>7560</v>
      </c>
      <c r="G16" s="22">
        <f>SUM(B16:F16)</f>
        <v>76784</v>
      </c>
    </row>
    <row r="17" spans="1:20" x14ac:dyDescent="0.25">
      <c r="B17" s="3"/>
      <c r="C17" s="3"/>
      <c r="D17" s="3"/>
    </row>
    <row r="18" spans="1:20" x14ac:dyDescent="0.25">
      <c r="B18" s="3"/>
      <c r="C18" s="3"/>
      <c r="D18" s="3"/>
    </row>
    <row r="19" spans="1:20" x14ac:dyDescent="0.25">
      <c r="B19" s="3"/>
      <c r="C19" s="3"/>
      <c r="D19" s="3"/>
    </row>
    <row r="20" spans="1:20" x14ac:dyDescent="0.25">
      <c r="B20" s="3"/>
      <c r="C20" s="3"/>
      <c r="D20" s="3"/>
    </row>
    <row r="21" spans="1:20" x14ac:dyDescent="0.25">
      <c r="B21" s="49" t="s">
        <v>12</v>
      </c>
      <c r="C21" s="3"/>
      <c r="F21" s="3"/>
      <c r="G21" s="50" t="s">
        <v>13</v>
      </c>
      <c r="N21" s="23" t="s">
        <v>31</v>
      </c>
      <c r="O21" s="23"/>
      <c r="Q21" s="59"/>
      <c r="R21" s="60" t="s">
        <v>58</v>
      </c>
      <c r="S21" s="60" t="s">
        <v>48</v>
      </c>
      <c r="T21" s="60" t="s">
        <v>51</v>
      </c>
    </row>
    <row r="22" spans="1:20" x14ac:dyDescent="0.25">
      <c r="A22" s="10" t="s">
        <v>5</v>
      </c>
      <c r="B22" s="10"/>
      <c r="C22" s="10" t="s">
        <v>32</v>
      </c>
      <c r="D22" s="10" t="s">
        <v>33</v>
      </c>
      <c r="F22" s="11" t="s">
        <v>5</v>
      </c>
      <c r="G22" s="11"/>
      <c r="H22" s="24" t="s">
        <v>32</v>
      </c>
      <c r="I22" s="25" t="s">
        <v>33</v>
      </c>
      <c r="L22" s="10" t="s">
        <v>5</v>
      </c>
      <c r="M22" s="26" t="s">
        <v>15</v>
      </c>
      <c r="N22" s="12" t="s">
        <v>12</v>
      </c>
      <c r="O22" s="12" t="s">
        <v>13</v>
      </c>
      <c r="Q22" s="59">
        <v>1</v>
      </c>
      <c r="R22" s="61">
        <v>0</v>
      </c>
      <c r="S22" s="62">
        <v>0</v>
      </c>
      <c r="T22" s="61">
        <v>0</v>
      </c>
    </row>
    <row r="23" spans="1:20" x14ac:dyDescent="0.25">
      <c r="A23" s="12" t="s">
        <v>14</v>
      </c>
      <c r="B23" s="84">
        <f>SUM(I4,L4,O4,N23)</f>
        <v>1827.75</v>
      </c>
      <c r="C23" s="84"/>
      <c r="D23" s="85">
        <f>SUM(B23,C23)</f>
        <v>1827.75</v>
      </c>
      <c r="F23" s="12" t="s">
        <v>14</v>
      </c>
      <c r="G23" s="84">
        <f>SUM(K4,N4,Q4,S4,T4,O23,S22,R22,T22)</f>
        <v>3014.75</v>
      </c>
      <c r="H23" s="83"/>
      <c r="I23" s="85">
        <f t="shared" ref="I23:I34" si="9">SUM(G23,H23)</f>
        <v>3014.75</v>
      </c>
      <c r="L23" s="12" t="s">
        <v>14</v>
      </c>
      <c r="M23" s="58">
        <f>SUM(H41)</f>
        <v>0</v>
      </c>
      <c r="N23" s="58">
        <v>0</v>
      </c>
      <c r="O23" s="58">
        <v>0</v>
      </c>
      <c r="Q23" s="63">
        <v>2</v>
      </c>
      <c r="R23" s="61">
        <v>0</v>
      </c>
      <c r="S23" s="62">
        <v>0</v>
      </c>
      <c r="T23" s="62">
        <v>0</v>
      </c>
    </row>
    <row r="24" spans="1:20" x14ac:dyDescent="0.25">
      <c r="A24" s="12" t="s">
        <v>17</v>
      </c>
      <c r="B24" s="84">
        <f t="shared" ref="B24:B34" si="10">SUM(I5,L5,O5,N24)</f>
        <v>2239.75</v>
      </c>
      <c r="C24" s="84"/>
      <c r="D24" s="85">
        <f t="shared" ref="D24:D34" si="11">SUM(B24,C24)</f>
        <v>2239.75</v>
      </c>
      <c r="F24" s="12" t="s">
        <v>17</v>
      </c>
      <c r="G24" s="84">
        <f>SUM(K5,N5,Q5,S5,T5,O24,S23,R23,T23)</f>
        <v>3796.75</v>
      </c>
      <c r="H24" s="83"/>
      <c r="I24" s="85">
        <f t="shared" si="9"/>
        <v>3796.75</v>
      </c>
      <c r="L24" s="12" t="s">
        <v>17</v>
      </c>
      <c r="M24" s="58">
        <f>SUM(H41)</f>
        <v>0</v>
      </c>
      <c r="N24" s="58">
        <v>0</v>
      </c>
      <c r="O24" s="58">
        <v>0</v>
      </c>
      <c r="Q24" s="59">
        <v>3</v>
      </c>
      <c r="R24" s="61">
        <v>0</v>
      </c>
      <c r="S24" s="62">
        <v>0</v>
      </c>
      <c r="T24" s="62">
        <v>0</v>
      </c>
    </row>
    <row r="25" spans="1:20" x14ac:dyDescent="0.25">
      <c r="A25" s="12" t="s">
        <v>19</v>
      </c>
      <c r="B25" s="84">
        <f t="shared" si="10"/>
        <v>2277</v>
      </c>
      <c r="C25" s="84"/>
      <c r="D25" s="85">
        <f t="shared" si="11"/>
        <v>2277</v>
      </c>
      <c r="F25" s="12" t="s">
        <v>19</v>
      </c>
      <c r="G25" s="84">
        <f t="shared" ref="G25:G34" si="12">SUM(K6,N6,Q6,S6,T6,O25,S24,R24,T24)</f>
        <v>4060</v>
      </c>
      <c r="H25" s="83"/>
      <c r="I25" s="85">
        <f t="shared" si="9"/>
        <v>4060</v>
      </c>
      <c r="L25" s="12" t="s">
        <v>19</v>
      </c>
      <c r="M25" s="58">
        <f>SUM(H41)</f>
        <v>0</v>
      </c>
      <c r="N25" s="58">
        <v>0</v>
      </c>
      <c r="O25" s="58">
        <v>0</v>
      </c>
      <c r="Q25" s="59">
        <v>4</v>
      </c>
      <c r="R25" s="61">
        <v>0</v>
      </c>
      <c r="S25" s="62">
        <v>0</v>
      </c>
      <c r="T25" s="62">
        <v>0</v>
      </c>
    </row>
    <row r="26" spans="1:20" x14ac:dyDescent="0.25">
      <c r="A26" s="12" t="s">
        <v>20</v>
      </c>
      <c r="B26" s="84">
        <f t="shared" si="10"/>
        <v>2147.75</v>
      </c>
      <c r="C26" s="84"/>
      <c r="D26" s="85">
        <f t="shared" si="11"/>
        <v>2147.75</v>
      </c>
      <c r="F26" s="12" t="s">
        <v>20</v>
      </c>
      <c r="G26" s="84">
        <f t="shared" si="12"/>
        <v>2875.75</v>
      </c>
      <c r="H26" s="83"/>
      <c r="I26" s="85">
        <f t="shared" si="9"/>
        <v>2875.75</v>
      </c>
      <c r="L26" s="12" t="s">
        <v>20</v>
      </c>
      <c r="M26" s="58">
        <f>SUM(H41)</f>
        <v>0</v>
      </c>
      <c r="N26" s="58">
        <v>0</v>
      </c>
      <c r="O26" s="58">
        <v>0</v>
      </c>
      <c r="Q26" s="59">
        <v>5</v>
      </c>
      <c r="R26" s="61">
        <v>0</v>
      </c>
      <c r="S26" s="62">
        <v>0</v>
      </c>
      <c r="T26" s="62">
        <v>0</v>
      </c>
    </row>
    <row r="27" spans="1:20" x14ac:dyDescent="0.25">
      <c r="A27" s="12" t="s">
        <v>21</v>
      </c>
      <c r="B27" s="84">
        <f t="shared" si="10"/>
        <v>2147.75</v>
      </c>
      <c r="C27" s="84"/>
      <c r="D27" s="85">
        <f t="shared" si="11"/>
        <v>2147.75</v>
      </c>
      <c r="F27" s="12" t="s">
        <v>21</v>
      </c>
      <c r="G27" s="84">
        <f t="shared" si="12"/>
        <v>3148.75</v>
      </c>
      <c r="H27" s="83"/>
      <c r="I27" s="85">
        <f t="shared" si="9"/>
        <v>3148.75</v>
      </c>
      <c r="L27" s="12" t="s">
        <v>21</v>
      </c>
      <c r="M27" s="58">
        <f>SUM(H41)</f>
        <v>0</v>
      </c>
      <c r="N27" s="58">
        <v>0</v>
      </c>
      <c r="O27" s="58">
        <v>0</v>
      </c>
      <c r="Q27" s="59">
        <v>6</v>
      </c>
      <c r="R27" s="61">
        <v>0</v>
      </c>
      <c r="S27" s="62">
        <v>0</v>
      </c>
      <c r="T27" s="62">
        <v>0</v>
      </c>
    </row>
    <row r="28" spans="1:20" x14ac:dyDescent="0.25">
      <c r="A28" s="12" t="s">
        <v>22</v>
      </c>
      <c r="B28" s="84">
        <f t="shared" si="10"/>
        <v>0</v>
      </c>
      <c r="C28" s="84"/>
      <c r="D28" s="85">
        <f t="shared" si="11"/>
        <v>0</v>
      </c>
      <c r="F28" s="12" t="s">
        <v>22</v>
      </c>
      <c r="G28" s="84">
        <f t="shared" si="12"/>
        <v>399</v>
      </c>
      <c r="H28" s="83"/>
      <c r="I28" s="85">
        <f t="shared" si="9"/>
        <v>399</v>
      </c>
      <c r="L28" s="12" t="s">
        <v>22</v>
      </c>
      <c r="M28" s="58">
        <f>SUM(H41)</f>
        <v>0</v>
      </c>
      <c r="N28" s="58">
        <v>0</v>
      </c>
      <c r="O28" s="58">
        <v>0</v>
      </c>
      <c r="Q28" s="59">
        <v>7</v>
      </c>
      <c r="R28" s="61">
        <v>0</v>
      </c>
      <c r="S28" s="62">
        <v>0</v>
      </c>
      <c r="T28" s="62">
        <v>0</v>
      </c>
    </row>
    <row r="29" spans="1:20" x14ac:dyDescent="0.25">
      <c r="A29" s="12" t="s">
        <v>23</v>
      </c>
      <c r="B29" s="84">
        <f t="shared" si="10"/>
        <v>0</v>
      </c>
      <c r="C29" s="84"/>
      <c r="D29" s="85">
        <f t="shared" si="11"/>
        <v>0</v>
      </c>
      <c r="F29" s="12" t="s">
        <v>23</v>
      </c>
      <c r="G29" s="84">
        <f t="shared" si="12"/>
        <v>399</v>
      </c>
      <c r="H29" s="83"/>
      <c r="I29" s="85">
        <f t="shared" si="9"/>
        <v>399</v>
      </c>
      <c r="L29" s="12" t="s">
        <v>23</v>
      </c>
      <c r="M29" s="58">
        <f>SUM(H41)</f>
        <v>0</v>
      </c>
      <c r="N29" s="58">
        <v>0</v>
      </c>
      <c r="O29" s="58">
        <f t="shared" ref="O29" si="13">M29/3</f>
        <v>0</v>
      </c>
      <c r="Q29" s="59">
        <v>8</v>
      </c>
      <c r="R29" s="61">
        <v>0</v>
      </c>
      <c r="S29" s="62">
        <v>0</v>
      </c>
      <c r="T29" s="62">
        <v>0</v>
      </c>
    </row>
    <row r="30" spans="1:20" x14ac:dyDescent="0.25">
      <c r="A30" s="12" t="s">
        <v>24</v>
      </c>
      <c r="B30" s="84">
        <f t="shared" si="10"/>
        <v>0</v>
      </c>
      <c r="C30" s="84"/>
      <c r="D30" s="85">
        <f t="shared" si="11"/>
        <v>0</v>
      </c>
      <c r="F30" s="12" t="s">
        <v>24</v>
      </c>
      <c r="G30" s="84">
        <f t="shared" si="12"/>
        <v>399</v>
      </c>
      <c r="H30" s="83"/>
      <c r="I30" s="85">
        <f t="shared" si="9"/>
        <v>399</v>
      </c>
      <c r="L30" s="12" t="s">
        <v>24</v>
      </c>
      <c r="M30" s="58">
        <f>SUM(H41)</f>
        <v>0</v>
      </c>
      <c r="N30" s="58">
        <v>0</v>
      </c>
      <c r="O30" s="58">
        <v>0</v>
      </c>
      <c r="Q30" s="59">
        <v>9</v>
      </c>
      <c r="R30" s="61">
        <v>0</v>
      </c>
      <c r="S30" s="62">
        <v>0</v>
      </c>
      <c r="T30" s="62">
        <v>0</v>
      </c>
    </row>
    <row r="31" spans="1:20" x14ac:dyDescent="0.25">
      <c r="A31" s="12" t="s">
        <v>26</v>
      </c>
      <c r="B31" s="84">
        <f t="shared" si="10"/>
        <v>0</v>
      </c>
      <c r="C31" s="84"/>
      <c r="D31" s="85">
        <f t="shared" si="11"/>
        <v>0</v>
      </c>
      <c r="F31" s="12" t="s">
        <v>26</v>
      </c>
      <c r="G31" s="84">
        <f t="shared" si="12"/>
        <v>399</v>
      </c>
      <c r="H31" s="83"/>
      <c r="I31" s="85">
        <f t="shared" si="9"/>
        <v>399</v>
      </c>
      <c r="L31" s="12" t="s">
        <v>26</v>
      </c>
      <c r="M31" s="58">
        <f>SUM(H41)</f>
        <v>0</v>
      </c>
      <c r="N31" s="58">
        <v>0</v>
      </c>
      <c r="O31" s="58">
        <v>0</v>
      </c>
      <c r="Q31" s="59">
        <v>10</v>
      </c>
      <c r="R31" s="61">
        <v>0</v>
      </c>
      <c r="S31" s="62">
        <v>0</v>
      </c>
      <c r="T31" s="62">
        <v>0</v>
      </c>
    </row>
    <row r="32" spans="1:20" x14ac:dyDescent="0.25">
      <c r="A32" s="12" t="s">
        <v>27</v>
      </c>
      <c r="B32" s="84">
        <f t="shared" si="10"/>
        <v>0</v>
      </c>
      <c r="C32" s="84"/>
      <c r="D32" s="85">
        <f t="shared" si="11"/>
        <v>0</v>
      </c>
      <c r="F32" s="12" t="s">
        <v>27</v>
      </c>
      <c r="G32" s="84">
        <f t="shared" si="12"/>
        <v>399</v>
      </c>
      <c r="H32" s="83"/>
      <c r="I32" s="85">
        <f t="shared" si="9"/>
        <v>399</v>
      </c>
      <c r="L32" s="12" t="s">
        <v>27</v>
      </c>
      <c r="M32" s="58">
        <f>SUM(H41)</f>
        <v>0</v>
      </c>
      <c r="N32" s="58">
        <v>0</v>
      </c>
      <c r="O32" s="58">
        <v>0</v>
      </c>
      <c r="Q32" s="59">
        <v>11</v>
      </c>
      <c r="R32" s="61">
        <v>0</v>
      </c>
      <c r="S32" s="62">
        <v>0</v>
      </c>
      <c r="T32" s="62">
        <v>0</v>
      </c>
    </row>
    <row r="33" spans="1:22" x14ac:dyDescent="0.25">
      <c r="A33" s="12" t="s">
        <v>28</v>
      </c>
      <c r="B33" s="84">
        <f t="shared" si="10"/>
        <v>0</v>
      </c>
      <c r="C33" s="84"/>
      <c r="D33" s="85">
        <f t="shared" si="11"/>
        <v>0</v>
      </c>
      <c r="F33" s="12" t="s">
        <v>28</v>
      </c>
      <c r="G33" s="84">
        <f t="shared" si="12"/>
        <v>399</v>
      </c>
      <c r="H33" s="83"/>
      <c r="I33" s="85">
        <f t="shared" si="9"/>
        <v>399</v>
      </c>
      <c r="L33" s="12" t="s">
        <v>28</v>
      </c>
      <c r="M33" s="58">
        <f>SUM(H41)</f>
        <v>0</v>
      </c>
      <c r="N33" s="58">
        <v>0</v>
      </c>
      <c r="O33" s="58">
        <v>0</v>
      </c>
      <c r="Q33" s="59">
        <v>12</v>
      </c>
      <c r="R33" s="61">
        <v>0</v>
      </c>
      <c r="S33" s="62">
        <v>0</v>
      </c>
      <c r="T33" s="62">
        <v>0</v>
      </c>
    </row>
    <row r="34" spans="1:22" x14ac:dyDescent="0.25">
      <c r="A34" s="12" t="s">
        <v>29</v>
      </c>
      <c r="B34" s="84">
        <f t="shared" si="10"/>
        <v>0</v>
      </c>
      <c r="C34" s="84"/>
      <c r="D34" s="85">
        <f t="shared" si="11"/>
        <v>0</v>
      </c>
      <c r="F34" s="12" t="s">
        <v>29</v>
      </c>
      <c r="G34" s="84">
        <f t="shared" si="12"/>
        <v>399</v>
      </c>
      <c r="H34" s="83"/>
      <c r="I34" s="85">
        <f t="shared" si="9"/>
        <v>399</v>
      </c>
      <c r="L34" s="12" t="s">
        <v>29</v>
      </c>
      <c r="M34" s="58">
        <f>SUM(H41)</f>
        <v>0</v>
      </c>
      <c r="N34" s="58">
        <v>0</v>
      </c>
      <c r="O34" s="58">
        <v>0</v>
      </c>
    </row>
    <row r="35" spans="1:22" x14ac:dyDescent="0.25">
      <c r="A35" s="9" t="s">
        <v>30</v>
      </c>
      <c r="B35" s="7">
        <f>SUM(B23:B34)</f>
        <v>10640</v>
      </c>
      <c r="C35" s="3"/>
      <c r="D35" s="7">
        <f>SUM(D23:D34)</f>
        <v>10640</v>
      </c>
      <c r="F35" s="9" t="s">
        <v>30</v>
      </c>
      <c r="G35" s="7">
        <f>SUM(G23:G34)</f>
        <v>19689</v>
      </c>
      <c r="I35" s="7">
        <f>SUM(I23:I34)</f>
        <v>19689</v>
      </c>
    </row>
    <row r="36" spans="1:22" x14ac:dyDescent="0.25">
      <c r="C36" s="3"/>
      <c r="D36" s="3"/>
    </row>
    <row r="38" spans="1:22" x14ac:dyDescent="0.25">
      <c r="V38" s="3"/>
    </row>
    <row r="39" spans="1:22" x14ac:dyDescent="0.25">
      <c r="B39" s="64" t="s">
        <v>41</v>
      </c>
      <c r="C39" s="3"/>
      <c r="U39" s="89"/>
      <c r="V39" s="90"/>
    </row>
    <row r="40" spans="1:22" x14ac:dyDescent="0.25">
      <c r="A40" s="10" t="s">
        <v>5</v>
      </c>
      <c r="B40" s="10"/>
      <c r="C40" s="10" t="s">
        <v>32</v>
      </c>
      <c r="D40" s="10" t="s">
        <v>33</v>
      </c>
      <c r="E40" s="68" t="s">
        <v>15</v>
      </c>
      <c r="L40" s="65"/>
      <c r="M40" s="65" t="s">
        <v>47</v>
      </c>
      <c r="U40" s="91"/>
      <c r="V40" s="90"/>
    </row>
    <row r="41" spans="1:22" x14ac:dyDescent="0.25">
      <c r="A41" s="12" t="s">
        <v>14</v>
      </c>
      <c r="B41" s="84">
        <f>SUM(J4,E41,M4,F41,G41)</f>
        <v>3172.75</v>
      </c>
      <c r="C41" s="84"/>
      <c r="D41" s="86">
        <f>SUM(B41,C41)</f>
        <v>3172.75</v>
      </c>
      <c r="E41" s="87"/>
      <c r="F41" s="75">
        <v>1800</v>
      </c>
      <c r="G41" s="53" t="s">
        <v>64</v>
      </c>
      <c r="L41" s="65">
        <v>1</v>
      </c>
      <c r="M41" s="81">
        <f>SUM(B23,G23,B41)</f>
        <v>8015.25</v>
      </c>
      <c r="U41" s="91"/>
      <c r="V41" s="90"/>
    </row>
    <row r="42" spans="1:22" x14ac:dyDescent="0.25">
      <c r="A42" s="12" t="s">
        <v>17</v>
      </c>
      <c r="B42" s="84">
        <f>SUM(J5,E42,M5)</f>
        <v>1784.75</v>
      </c>
      <c r="C42" s="84"/>
      <c r="D42" s="86">
        <f t="shared" ref="D42:D52" si="14">SUM(B42,C42)</f>
        <v>1784.75</v>
      </c>
      <c r="E42" s="88"/>
      <c r="F42" s="74"/>
      <c r="L42" s="65">
        <v>2</v>
      </c>
      <c r="M42" s="81">
        <f t="shared" ref="M42:M52" si="15">SUM(B24,G24,B42)</f>
        <v>7821.25</v>
      </c>
      <c r="P42" s="76"/>
      <c r="T42" s="66"/>
      <c r="U42" s="91"/>
      <c r="V42" s="90"/>
    </row>
    <row r="43" spans="1:22" x14ac:dyDescent="0.25">
      <c r="A43" s="12" t="s">
        <v>19</v>
      </c>
      <c r="B43" s="84">
        <f>SUM(J6,E43,M6,G43)</f>
        <v>1803.75</v>
      </c>
      <c r="C43" s="84"/>
      <c r="D43" s="86">
        <f t="shared" si="14"/>
        <v>1803.75</v>
      </c>
      <c r="E43" s="88"/>
      <c r="F43" s="74"/>
      <c r="L43" s="65">
        <v>3</v>
      </c>
      <c r="M43" s="81">
        <f t="shared" si="15"/>
        <v>8140.75</v>
      </c>
      <c r="P43" s="72"/>
      <c r="U43" s="91"/>
      <c r="V43" s="90"/>
    </row>
    <row r="44" spans="1:22" x14ac:dyDescent="0.25">
      <c r="A44" s="12" t="s">
        <v>20</v>
      </c>
      <c r="B44" s="84">
        <f>SUM(J7,E44,M7)</f>
        <v>1674.5</v>
      </c>
      <c r="C44" s="84"/>
      <c r="D44" s="86">
        <f t="shared" si="14"/>
        <v>1674.5</v>
      </c>
      <c r="E44" s="88"/>
      <c r="L44" s="65">
        <v>4</v>
      </c>
      <c r="M44" s="81">
        <f t="shared" si="15"/>
        <v>6698</v>
      </c>
      <c r="P44" s="72"/>
      <c r="U44" s="91"/>
      <c r="V44" s="90"/>
    </row>
    <row r="45" spans="1:22" x14ac:dyDescent="0.25">
      <c r="A45" s="12" t="s">
        <v>21</v>
      </c>
      <c r="B45" s="84">
        <f>SUM(J8,E45,M8)</f>
        <v>1674.5</v>
      </c>
      <c r="C45" s="84"/>
      <c r="D45" s="86">
        <f t="shared" si="14"/>
        <v>1674.5</v>
      </c>
      <c r="E45" s="88"/>
      <c r="L45" s="65">
        <v>5</v>
      </c>
      <c r="M45" s="81">
        <f t="shared" si="15"/>
        <v>6971</v>
      </c>
      <c r="P45" s="71"/>
      <c r="U45" s="91"/>
      <c r="V45" s="90"/>
    </row>
    <row r="46" spans="1:22" x14ac:dyDescent="0.25">
      <c r="A46" s="12" t="s">
        <v>22</v>
      </c>
      <c r="B46" s="84">
        <f t="shared" ref="B46:B52" si="16">SUM(J9,E46,M9)</f>
        <v>0</v>
      </c>
      <c r="C46" s="84"/>
      <c r="D46" s="86">
        <f t="shared" si="14"/>
        <v>0</v>
      </c>
      <c r="E46" s="88"/>
      <c r="L46" s="65">
        <v>6</v>
      </c>
      <c r="M46" s="81">
        <f t="shared" si="15"/>
        <v>399</v>
      </c>
      <c r="P46" s="71"/>
    </row>
    <row r="47" spans="1:22" x14ac:dyDescent="0.25">
      <c r="A47" s="12" t="s">
        <v>23</v>
      </c>
      <c r="B47" s="84">
        <f t="shared" si="16"/>
        <v>0</v>
      </c>
      <c r="C47" s="84"/>
      <c r="D47" s="86">
        <f t="shared" si="14"/>
        <v>0</v>
      </c>
      <c r="E47" s="88"/>
      <c r="L47" s="65">
        <v>7</v>
      </c>
      <c r="M47" s="81">
        <f t="shared" si="15"/>
        <v>399</v>
      </c>
    </row>
    <row r="48" spans="1:22" x14ac:dyDescent="0.25">
      <c r="A48" s="12" t="s">
        <v>24</v>
      </c>
      <c r="B48" s="84">
        <f t="shared" si="16"/>
        <v>0</v>
      </c>
      <c r="C48" s="84"/>
      <c r="D48" s="86">
        <f t="shared" si="14"/>
        <v>0</v>
      </c>
      <c r="E48" s="88"/>
      <c r="L48" s="65">
        <v>8</v>
      </c>
      <c r="M48" s="81">
        <f t="shared" si="15"/>
        <v>399</v>
      </c>
    </row>
    <row r="49" spans="1:13" x14ac:dyDescent="0.25">
      <c r="A49" s="12" t="s">
        <v>26</v>
      </c>
      <c r="B49" s="84">
        <f>SUM(J12,E49,M12)</f>
        <v>0</v>
      </c>
      <c r="C49" s="84"/>
      <c r="D49" s="86">
        <f t="shared" si="14"/>
        <v>0</v>
      </c>
      <c r="E49" s="88"/>
      <c r="L49" s="65">
        <v>9</v>
      </c>
      <c r="M49" s="81">
        <f>SUM(B31,G31,B49)</f>
        <v>399</v>
      </c>
    </row>
    <row r="50" spans="1:13" x14ac:dyDescent="0.25">
      <c r="A50" s="12" t="s">
        <v>27</v>
      </c>
      <c r="B50" s="84">
        <f>SUM(J13,E50,M13)</f>
        <v>0</v>
      </c>
      <c r="C50" s="84"/>
      <c r="D50" s="86">
        <f t="shared" si="14"/>
        <v>0</v>
      </c>
      <c r="E50" s="88"/>
      <c r="L50" s="65">
        <v>10</v>
      </c>
      <c r="M50" s="81">
        <f t="shared" si="15"/>
        <v>399</v>
      </c>
    </row>
    <row r="51" spans="1:13" x14ac:dyDescent="0.25">
      <c r="A51" s="12" t="s">
        <v>28</v>
      </c>
      <c r="B51" s="84">
        <f>SUM(J14,E51,M14)</f>
        <v>0</v>
      </c>
      <c r="C51" s="84"/>
      <c r="D51" s="86">
        <f>SUM(B51,C51)</f>
        <v>0</v>
      </c>
      <c r="E51" s="88"/>
      <c r="L51" s="65">
        <v>11</v>
      </c>
      <c r="M51" s="81">
        <f>SUM(B33,G33,B51)</f>
        <v>399</v>
      </c>
    </row>
    <row r="52" spans="1:13" x14ac:dyDescent="0.25">
      <c r="A52" s="12" t="s">
        <v>29</v>
      </c>
      <c r="B52" s="84">
        <f t="shared" si="16"/>
        <v>0</v>
      </c>
      <c r="C52" s="84"/>
      <c r="D52" s="86">
        <f t="shared" si="14"/>
        <v>0</v>
      </c>
      <c r="E52" s="88"/>
      <c r="L52" s="67">
        <v>12</v>
      </c>
      <c r="M52" s="81">
        <f t="shared" si="15"/>
        <v>399</v>
      </c>
    </row>
    <row r="53" spans="1:13" x14ac:dyDescent="0.25">
      <c r="A53" s="9" t="s">
        <v>30</v>
      </c>
      <c r="B53" s="7">
        <f>SUM(B41:B52)</f>
        <v>10110.25</v>
      </c>
      <c r="C53" s="3"/>
      <c r="D53" s="7">
        <f>SUM(D41:D52)</f>
        <v>10110.25</v>
      </c>
      <c r="E53" s="70">
        <f>SUM(E41:E52)</f>
        <v>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CUENTAS</vt:lpstr>
      <vt:lpstr>GASTOS CASA 2019</vt:lpstr>
      <vt:lpstr>GASTOS CASA 2020</vt:lpstr>
      <vt:lpstr>GASTOS CASA 2021</vt:lpstr>
      <vt:lpstr>GASTOS CASA 2022</vt:lpstr>
      <vt:lpstr>GASTOS CASA 2023</vt:lpstr>
      <vt:lpstr>GASTOS CASA 2024</vt:lpstr>
      <vt:lpstr>GASTOS CASA 2025</vt:lpstr>
      <vt:lpstr>GASTOS CASA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Hongo Loco</cp:lastModifiedBy>
  <dcterms:modified xsi:type="dcterms:W3CDTF">2026-05-07T00:38:47Z</dcterms:modified>
</cp:coreProperties>
</file>